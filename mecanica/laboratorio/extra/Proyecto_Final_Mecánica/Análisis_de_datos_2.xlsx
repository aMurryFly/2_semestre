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n_c\OneDrive\Documentos\Universidad\2° Semestre\Mecánica\Prácticas\Proyecto_Final_Mecánica\"/>
    </mc:Choice>
  </mc:AlternateContent>
  <bookViews>
    <workbookView xWindow="0" yWindow="0" windowWidth="20490" windowHeight="7650"/>
  </bookViews>
  <sheets>
    <sheet name="FUNCIÓN_GENERAL" sheetId="8" r:id="rId1"/>
    <sheet name="FUNCIONES PARTICULARES" sheetId="9" r:id="rId2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9" l="1"/>
  <c r="C37" i="9"/>
  <c r="C45" i="9"/>
  <c r="E4" i="8"/>
  <c r="D4" i="8"/>
  <c r="E5" i="8"/>
  <c r="D5" i="8"/>
  <c r="E6" i="8"/>
  <c r="D6" i="8"/>
  <c r="E7" i="8"/>
  <c r="D7" i="8"/>
  <c r="E8" i="8"/>
  <c r="D8" i="8"/>
  <c r="E9" i="8"/>
  <c r="D9" i="8"/>
  <c r="E10" i="8"/>
  <c r="D10" i="8"/>
  <c r="E11" i="8"/>
  <c r="D11" i="8"/>
  <c r="E12" i="8"/>
  <c r="D12" i="8"/>
  <c r="E13" i="8"/>
  <c r="D13" i="8"/>
  <c r="E14" i="8"/>
  <c r="D14" i="8"/>
  <c r="E15" i="8"/>
  <c r="D15" i="8"/>
  <c r="E16" i="8"/>
  <c r="D16" i="8"/>
  <c r="E17" i="8"/>
  <c r="D17" i="8"/>
  <c r="E18" i="8"/>
  <c r="D18" i="8"/>
  <c r="E19" i="8"/>
  <c r="D19" i="8"/>
  <c r="E20" i="8"/>
  <c r="D20" i="8"/>
  <c r="E21" i="8"/>
  <c r="D21" i="8"/>
  <c r="E22" i="8"/>
  <c r="D22" i="8"/>
  <c r="E23" i="8"/>
  <c r="D23" i="8"/>
  <c r="E24" i="8"/>
  <c r="D24" i="8"/>
  <c r="E25" i="8"/>
  <c r="D25" i="8"/>
  <c r="E26" i="8"/>
  <c r="D26" i="8"/>
  <c r="E27" i="8"/>
  <c r="D27" i="8"/>
  <c r="E28" i="8"/>
  <c r="D28" i="8"/>
  <c r="E29" i="8"/>
  <c r="D29" i="8"/>
  <c r="E30" i="8"/>
  <c r="D30" i="8"/>
  <c r="E31" i="8"/>
  <c r="D31" i="8"/>
  <c r="E32" i="8"/>
  <c r="D32" i="8"/>
  <c r="E33" i="8"/>
  <c r="D33" i="8"/>
  <c r="E34" i="8"/>
  <c r="D34" i="8"/>
  <c r="E35" i="8"/>
  <c r="D35" i="8"/>
  <c r="E36" i="8"/>
  <c r="D36" i="8"/>
  <c r="E37" i="8"/>
  <c r="D37" i="8"/>
  <c r="E38" i="8"/>
  <c r="D38" i="8"/>
  <c r="E39" i="8"/>
  <c r="D39" i="8"/>
  <c r="E40" i="8"/>
  <c r="D40" i="8"/>
  <c r="E41" i="8"/>
  <c r="D41" i="8"/>
  <c r="E42" i="8"/>
  <c r="D42" i="8"/>
  <c r="E43" i="8"/>
  <c r="D43" i="8"/>
  <c r="E44" i="8"/>
  <c r="D44" i="8"/>
  <c r="E45" i="8"/>
  <c r="D45" i="8"/>
  <c r="E46" i="8"/>
  <c r="D46" i="8"/>
  <c r="E47" i="8"/>
  <c r="D47" i="8"/>
  <c r="E48" i="8"/>
  <c r="D48" i="8"/>
  <c r="E49" i="8"/>
  <c r="D49" i="8"/>
  <c r="E50" i="8"/>
  <c r="D50" i="8"/>
  <c r="E51" i="8"/>
  <c r="D51" i="8"/>
  <c r="E52" i="8"/>
  <c r="D52" i="8"/>
  <c r="E53" i="8"/>
  <c r="D53" i="8"/>
  <c r="E54" i="8"/>
  <c r="D54" i="8"/>
  <c r="E55" i="8"/>
  <c r="D55" i="8"/>
  <c r="E56" i="8"/>
  <c r="D56" i="8"/>
  <c r="E57" i="8"/>
  <c r="D57" i="8"/>
  <c r="E58" i="8"/>
  <c r="D58" i="8"/>
  <c r="E59" i="8"/>
  <c r="D59" i="8"/>
  <c r="E60" i="8"/>
  <c r="D60" i="8"/>
  <c r="E61" i="8"/>
  <c r="D61" i="8"/>
  <c r="E62" i="8"/>
  <c r="D62" i="8"/>
  <c r="E63" i="8"/>
  <c r="D63" i="8"/>
  <c r="E64" i="8"/>
  <c r="D64" i="8"/>
  <c r="E65" i="8"/>
  <c r="D65" i="8"/>
  <c r="E66" i="8"/>
  <c r="D66" i="8"/>
  <c r="E67" i="8"/>
  <c r="D67" i="8"/>
  <c r="E68" i="8"/>
  <c r="D68" i="8"/>
  <c r="E69" i="8"/>
  <c r="D69" i="8"/>
  <c r="E70" i="8"/>
  <c r="D70" i="8"/>
  <c r="E71" i="8"/>
  <c r="D71" i="8"/>
  <c r="E72" i="8"/>
  <c r="D72" i="8"/>
  <c r="E73" i="8"/>
  <c r="D73" i="8"/>
  <c r="E74" i="8"/>
  <c r="D74" i="8"/>
  <c r="E75" i="8"/>
  <c r="D75" i="8"/>
  <c r="E76" i="8"/>
  <c r="D76" i="8"/>
  <c r="E77" i="8"/>
  <c r="D77" i="8"/>
  <c r="E78" i="8"/>
  <c r="D78" i="8"/>
  <c r="E79" i="8"/>
  <c r="D79" i="8"/>
  <c r="E80" i="8"/>
  <c r="D80" i="8"/>
  <c r="E81" i="8"/>
  <c r="D81" i="8"/>
  <c r="E82" i="8"/>
  <c r="D82" i="8"/>
  <c r="E83" i="8"/>
  <c r="D83" i="8"/>
  <c r="E84" i="8"/>
  <c r="D84" i="8"/>
  <c r="E85" i="8"/>
  <c r="D85" i="8"/>
  <c r="E86" i="8"/>
  <c r="D86" i="8"/>
  <c r="E87" i="8"/>
  <c r="D87" i="8"/>
  <c r="E88" i="8"/>
  <c r="D88" i="8"/>
  <c r="E89" i="8"/>
  <c r="D89" i="8"/>
  <c r="E90" i="8"/>
  <c r="D90" i="8"/>
  <c r="E91" i="8"/>
  <c r="D91" i="8"/>
  <c r="E92" i="8"/>
  <c r="D92" i="8"/>
  <c r="E93" i="8"/>
  <c r="D93" i="8"/>
  <c r="E94" i="8"/>
  <c r="D94" i="8"/>
  <c r="E95" i="8"/>
  <c r="D95" i="8"/>
  <c r="E96" i="8"/>
  <c r="D96" i="8"/>
  <c r="E97" i="8"/>
  <c r="D97" i="8"/>
  <c r="E98" i="8"/>
  <c r="D98" i="8"/>
  <c r="E99" i="8"/>
  <c r="D99" i="8"/>
  <c r="E3" i="8"/>
</calcChain>
</file>

<file path=xl/sharedStrings.xml><?xml version="1.0" encoding="utf-8"?>
<sst xmlns="http://schemas.openxmlformats.org/spreadsheetml/2006/main" count="26" uniqueCount="21">
  <si>
    <t>DATOS TRACKER</t>
  </si>
  <si>
    <t>CARRITO</t>
  </si>
  <si>
    <t>t</t>
  </si>
  <si>
    <t>x</t>
  </si>
  <si>
    <t>Tiempo (s)</t>
  </si>
  <si>
    <t>Distancia (m)</t>
  </si>
  <si>
    <t>0,000000000</t>
  </si>
  <si>
    <t>Función principal</t>
  </si>
  <si>
    <r>
      <t>y=-0.0359x</t>
    </r>
    <r>
      <rPr>
        <sz val="11"/>
        <color theme="1"/>
        <rFont val="Calibri"/>
        <family val="2"/>
      </rPr>
      <t>³+0.0836x²+0.463-0.0766 [m]</t>
    </r>
  </si>
  <si>
    <t>Primera derivada</t>
  </si>
  <si>
    <r>
      <t>y´=-0.1077x</t>
    </r>
    <r>
      <rPr>
        <sz val="11"/>
        <color theme="1"/>
        <rFont val="Calibri"/>
        <family val="2"/>
      </rPr>
      <t>²+0.1672x+0.463 [m]</t>
    </r>
  </si>
  <si>
    <t>Segunda derivada</t>
  </si>
  <si>
    <t>y´´= -0.2154x+0.1672 [m]</t>
  </si>
  <si>
    <t>Punto de inflexión</t>
  </si>
  <si>
    <t xml:space="preserve"> </t>
  </si>
  <si>
    <t>PRIMERA PARTE DEL MOVIMIENTO</t>
  </si>
  <si>
    <t>Aceleración [m/s²] :</t>
  </si>
  <si>
    <t xml:space="preserve">     v= at </t>
  </si>
  <si>
    <t xml:space="preserve">Velocidad Inicial [m/s]: </t>
  </si>
  <si>
    <t>SEGUNDA PARTE DEL MOVIMIENTO</t>
  </si>
  <si>
    <t xml:space="preserve">Velocidad Final [m/s]: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</si>
</sst>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_-;\-* #,##0.0_-;_-* &quot;-&quot;??_-;_-@_-"/>
    <numFmt numFmtId="165" formatCode="_-* #,##0.0000000000_-;\-* #,##0.0000000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FUNCIÓN_GENERAL!$E$2</c:f>
              <c:strCache>
                <c:ptCount val="1"/>
                <c:pt idx="0">
                  <c:v>Distancia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8015813648293963"/>
                  <c:y val="-2.34164479440070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FUNCIÓN_GENERAL!$D$3:$D$99</c:f>
              <c:numCache>
                <c:formatCode>_-* #,##0.0000000000_-;\-* #,##0.0000000000_-;_-* "-"??_-;_-@_-</c:formatCode>
                <c:ptCount val="97"/>
                <c:pt idx="0">
                  <c:v>0</c:v>
                </c:pt>
                <c:pt idx="1">
                  <c:v>3.3366666670000003E-2</c:v>
                </c:pt>
                <c:pt idx="2">
                  <c:v>6.6733333329999991E-2</c:v>
                </c:pt>
                <c:pt idx="3">
                  <c:v>0.10009999999999999</c:v>
                </c:pt>
                <c:pt idx="4">
                  <c:v>0.13346666670000001</c:v>
                </c:pt>
                <c:pt idx="5">
                  <c:v>0.16683333330000003</c:v>
                </c:pt>
                <c:pt idx="6">
                  <c:v>0.20019999999999999</c:v>
                </c:pt>
                <c:pt idx="7">
                  <c:v>0.23356666669999998</c:v>
                </c:pt>
                <c:pt idx="8">
                  <c:v>0.26693333330000002</c:v>
                </c:pt>
                <c:pt idx="9">
                  <c:v>0.30030000000000001</c:v>
                </c:pt>
                <c:pt idx="10">
                  <c:v>0.3336666667</c:v>
                </c:pt>
                <c:pt idx="11">
                  <c:v>0.36703333329999999</c:v>
                </c:pt>
                <c:pt idx="12">
                  <c:v>0.40039999999999998</c:v>
                </c:pt>
                <c:pt idx="13">
                  <c:v>0.43376666669999997</c:v>
                </c:pt>
                <c:pt idx="14">
                  <c:v>0.46713333330000001</c:v>
                </c:pt>
                <c:pt idx="15">
                  <c:v>0.50049999999999994</c:v>
                </c:pt>
                <c:pt idx="16">
                  <c:v>0.53386666669999994</c:v>
                </c:pt>
                <c:pt idx="17">
                  <c:v>0.56723333329999992</c:v>
                </c:pt>
                <c:pt idx="18">
                  <c:v>0.60060000000000002</c:v>
                </c:pt>
                <c:pt idx="19">
                  <c:v>0.63396666670000001</c:v>
                </c:pt>
                <c:pt idx="20">
                  <c:v>0.6673333333</c:v>
                </c:pt>
                <c:pt idx="21">
                  <c:v>0.70069999999999999</c:v>
                </c:pt>
                <c:pt idx="22">
                  <c:v>0.73406666670000009</c:v>
                </c:pt>
                <c:pt idx="23">
                  <c:v>0.76743333329999996</c:v>
                </c:pt>
                <c:pt idx="24">
                  <c:v>0.80079999999999996</c:v>
                </c:pt>
                <c:pt idx="25">
                  <c:v>0.83416666670000006</c:v>
                </c:pt>
                <c:pt idx="26">
                  <c:v>0.86753333329999993</c:v>
                </c:pt>
                <c:pt idx="27">
                  <c:v>0.90090000000000003</c:v>
                </c:pt>
                <c:pt idx="28">
                  <c:v>0.93426666670000003</c:v>
                </c:pt>
                <c:pt idx="29">
                  <c:v>0.9676333332999999</c:v>
                </c:pt>
                <c:pt idx="30">
                  <c:v>1.0009999999999999</c:v>
                </c:pt>
                <c:pt idx="31">
                  <c:v>1.034366667</c:v>
                </c:pt>
                <c:pt idx="32">
                  <c:v>1.0677333330000001</c:v>
                </c:pt>
                <c:pt idx="33">
                  <c:v>1.1011</c:v>
                </c:pt>
                <c:pt idx="34">
                  <c:v>1.1344666670000001</c:v>
                </c:pt>
                <c:pt idx="35">
                  <c:v>1.1678333329999999</c:v>
                </c:pt>
                <c:pt idx="36">
                  <c:v>1.2012</c:v>
                </c:pt>
                <c:pt idx="37">
                  <c:v>1.234566667</c:v>
                </c:pt>
                <c:pt idx="38">
                  <c:v>1.267933333</c:v>
                </c:pt>
                <c:pt idx="39">
                  <c:v>1.3012999999999999</c:v>
                </c:pt>
                <c:pt idx="40">
                  <c:v>1.334666667</c:v>
                </c:pt>
                <c:pt idx="41">
                  <c:v>1.3680333330000001</c:v>
                </c:pt>
                <c:pt idx="42">
                  <c:v>1.4014</c:v>
                </c:pt>
                <c:pt idx="43">
                  <c:v>1.4347666670000001</c:v>
                </c:pt>
                <c:pt idx="44">
                  <c:v>1.4681333329999999</c:v>
                </c:pt>
                <c:pt idx="45">
                  <c:v>1.5015000000000001</c:v>
                </c:pt>
                <c:pt idx="46">
                  <c:v>1.534866667</c:v>
                </c:pt>
                <c:pt idx="47">
                  <c:v>1.568233333</c:v>
                </c:pt>
                <c:pt idx="48">
                  <c:v>1.6015999999999999</c:v>
                </c:pt>
                <c:pt idx="49">
                  <c:v>1.634966667</c:v>
                </c:pt>
                <c:pt idx="50">
                  <c:v>1.6683333330000001</c:v>
                </c:pt>
                <c:pt idx="51">
                  <c:v>1.7017</c:v>
                </c:pt>
                <c:pt idx="52">
                  <c:v>1.7350666669999999</c:v>
                </c:pt>
                <c:pt idx="53">
                  <c:v>1.7684333329999999</c:v>
                </c:pt>
                <c:pt idx="54">
                  <c:v>1.8018000000000001</c:v>
                </c:pt>
                <c:pt idx="55">
                  <c:v>1.835166667</c:v>
                </c:pt>
                <c:pt idx="56">
                  <c:v>1.868533333</c:v>
                </c:pt>
                <c:pt idx="57">
                  <c:v>1.9018999999999999</c:v>
                </c:pt>
                <c:pt idx="58">
                  <c:v>1.9352666670000001</c:v>
                </c:pt>
                <c:pt idx="59">
                  <c:v>1.9686333330000001</c:v>
                </c:pt>
                <c:pt idx="60">
                  <c:v>2.0019999999999998</c:v>
                </c:pt>
                <c:pt idx="61">
                  <c:v>2.0353666669999999</c:v>
                </c:pt>
                <c:pt idx="62">
                  <c:v>2.068733333</c:v>
                </c:pt>
                <c:pt idx="63">
                  <c:v>2.1021000000000001</c:v>
                </c:pt>
                <c:pt idx="64">
                  <c:v>2.1354666670000002</c:v>
                </c:pt>
                <c:pt idx="65">
                  <c:v>2.1688333329999998</c:v>
                </c:pt>
                <c:pt idx="66">
                  <c:v>2.2021999999999999</c:v>
                </c:pt>
                <c:pt idx="67">
                  <c:v>2.2355666670000001</c:v>
                </c:pt>
                <c:pt idx="68">
                  <c:v>2.2689333330000001</c:v>
                </c:pt>
                <c:pt idx="69">
                  <c:v>2.3022999999999998</c:v>
                </c:pt>
                <c:pt idx="70">
                  <c:v>2.3356666669999999</c:v>
                </c:pt>
                <c:pt idx="71">
                  <c:v>2.369033333</c:v>
                </c:pt>
                <c:pt idx="72">
                  <c:v>2.4024000000000001</c:v>
                </c:pt>
                <c:pt idx="73">
                  <c:v>2.4357666670000002</c:v>
                </c:pt>
                <c:pt idx="74">
                  <c:v>2.4691333329999998</c:v>
                </c:pt>
                <c:pt idx="75">
                  <c:v>2.5024999999999999</c:v>
                </c:pt>
                <c:pt idx="76">
                  <c:v>2.5358666670000001</c:v>
                </c:pt>
                <c:pt idx="77">
                  <c:v>2.5692333330000001</c:v>
                </c:pt>
                <c:pt idx="78">
                  <c:v>2.6025999999999998</c:v>
                </c:pt>
                <c:pt idx="79">
                  <c:v>2.6359666669999999</c:v>
                </c:pt>
                <c:pt idx="80">
                  <c:v>2.669333333</c:v>
                </c:pt>
                <c:pt idx="81">
                  <c:v>2.7027000000000001</c:v>
                </c:pt>
                <c:pt idx="82">
                  <c:v>2.7360666669999998</c:v>
                </c:pt>
                <c:pt idx="83">
                  <c:v>2.7694333329999998</c:v>
                </c:pt>
                <c:pt idx="84">
                  <c:v>2.8028</c:v>
                </c:pt>
                <c:pt idx="85">
                  <c:v>2.8361666670000001</c:v>
                </c:pt>
                <c:pt idx="86">
                  <c:v>2.8695333330000001</c:v>
                </c:pt>
                <c:pt idx="87">
                  <c:v>2.9028999999999998</c:v>
                </c:pt>
                <c:pt idx="88">
                  <c:v>2.9362666669999999</c:v>
                </c:pt>
                <c:pt idx="89">
                  <c:v>2.969633333</c:v>
                </c:pt>
                <c:pt idx="90">
                  <c:v>3.0030000000000001</c:v>
                </c:pt>
                <c:pt idx="91">
                  <c:v>3.0363666669999998</c:v>
                </c:pt>
                <c:pt idx="92">
                  <c:v>3.0697333329999998</c:v>
                </c:pt>
                <c:pt idx="93">
                  <c:v>3.1031</c:v>
                </c:pt>
                <c:pt idx="94">
                  <c:v>3.1364666670000001</c:v>
                </c:pt>
                <c:pt idx="95">
                  <c:v>3.1698333330000001</c:v>
                </c:pt>
                <c:pt idx="96">
                  <c:v>3.2031999999999998</c:v>
                </c:pt>
              </c:numCache>
            </c:numRef>
          </c:xVal>
          <c:yVal>
            <c:numRef>
              <c:f>FUNCIÓN_GENERAL!$E$3:$E$99</c:f>
              <c:numCache>
                <c:formatCode>_-* #,##0.0000000000_-;\-* #,##0.0000000000_-;_-* "-"??_-;_-@_-</c:formatCode>
                <c:ptCount val="97"/>
                <c:pt idx="0">
                  <c:v>-2.7398070289999998E-4</c:v>
                </c:pt>
                <c:pt idx="1">
                  <c:v>-1.3407361859999999E-4</c:v>
                </c:pt>
                <c:pt idx="2">
                  <c:v>9.1519774829999995E-4</c:v>
                </c:pt>
                <c:pt idx="3">
                  <c:v>4.157871344E-3</c:v>
                </c:pt>
                <c:pt idx="4">
                  <c:v>6.9729604890000005E-3</c:v>
                </c:pt>
                <c:pt idx="5">
                  <c:v>8.7174609559999994E-3</c:v>
                </c:pt>
                <c:pt idx="6">
                  <c:v>1.290740307E-2</c:v>
                </c:pt>
                <c:pt idx="7">
                  <c:v>1.9451789269999999E-2</c:v>
                </c:pt>
                <c:pt idx="8">
                  <c:v>2.8181138370000001E-2</c:v>
                </c:pt>
                <c:pt idx="9">
                  <c:v>3.8721059659999994E-2</c:v>
                </c:pt>
                <c:pt idx="10">
                  <c:v>5.0817285299999994E-2</c:v>
                </c:pt>
                <c:pt idx="11">
                  <c:v>6.4422786039999999E-2</c:v>
                </c:pt>
                <c:pt idx="12">
                  <c:v>7.9594331200000007E-2</c:v>
                </c:pt>
                <c:pt idx="13">
                  <c:v>9.5653126919999998E-2</c:v>
                </c:pt>
                <c:pt idx="14">
                  <c:v>0.11297581479999999</c:v>
                </c:pt>
                <c:pt idx="15">
                  <c:v>0.13112939870000001</c:v>
                </c:pt>
                <c:pt idx="16">
                  <c:v>0.15079520019999998</c:v>
                </c:pt>
                <c:pt idx="17">
                  <c:v>0.17159899249999999</c:v>
                </c:pt>
                <c:pt idx="18">
                  <c:v>0.1924170895</c:v>
                </c:pt>
                <c:pt idx="19">
                  <c:v>0.21380624400000001</c:v>
                </c:pt>
                <c:pt idx="20">
                  <c:v>0.23602067419999997</c:v>
                </c:pt>
                <c:pt idx="21">
                  <c:v>0.25840839539999999</c:v>
                </c:pt>
                <c:pt idx="22">
                  <c:v>0.28092579779999999</c:v>
                </c:pt>
                <c:pt idx="23">
                  <c:v>0.30301298389999998</c:v>
                </c:pt>
                <c:pt idx="24">
                  <c:v>0.32453443970000001</c:v>
                </c:pt>
                <c:pt idx="25">
                  <c:v>0.34579829480000002</c:v>
                </c:pt>
                <c:pt idx="26">
                  <c:v>0.3665851987</c:v>
                </c:pt>
                <c:pt idx="27">
                  <c:v>0.38749294449999999</c:v>
                </c:pt>
                <c:pt idx="28">
                  <c:v>0.40774472880000001</c:v>
                </c:pt>
                <c:pt idx="29">
                  <c:v>0.42760070929999999</c:v>
                </c:pt>
                <c:pt idx="30">
                  <c:v>0.44750118239999997</c:v>
                </c:pt>
                <c:pt idx="31">
                  <c:v>0.46660081019999999</c:v>
                </c:pt>
                <c:pt idx="32">
                  <c:v>0.48550643999999998</c:v>
                </c:pt>
                <c:pt idx="33">
                  <c:v>0.50425632489999994</c:v>
                </c:pt>
                <c:pt idx="34">
                  <c:v>0.52284946659999998</c:v>
                </c:pt>
                <c:pt idx="35">
                  <c:v>0.5409011212999999</c:v>
                </c:pt>
                <c:pt idx="36">
                  <c:v>0.55867079549999998</c:v>
                </c:pt>
                <c:pt idx="37">
                  <c:v>0.57584981029999993</c:v>
                </c:pt>
                <c:pt idx="38">
                  <c:v>0.59238793599999995</c:v>
                </c:pt>
                <c:pt idx="39">
                  <c:v>0.60935307220000001</c:v>
                </c:pt>
                <c:pt idx="40">
                  <c:v>0.62605910520000008</c:v>
                </c:pt>
                <c:pt idx="41">
                  <c:v>0.64213216029999998</c:v>
                </c:pt>
                <c:pt idx="42">
                  <c:v>0.65799961949999997</c:v>
                </c:pt>
                <c:pt idx="43">
                  <c:v>0.67340850539999997</c:v>
                </c:pt>
                <c:pt idx="44">
                  <c:v>0.6885753456</c:v>
                </c:pt>
                <c:pt idx="45">
                  <c:v>0.70390079429999997</c:v>
                </c:pt>
                <c:pt idx="46">
                  <c:v>0.71874594920000001</c:v>
                </c:pt>
                <c:pt idx="47">
                  <c:v>0.73317097310000001</c:v>
                </c:pt>
                <c:pt idx="48">
                  <c:v>0.74755235329999992</c:v>
                </c:pt>
                <c:pt idx="49">
                  <c:v>0.76151270339999999</c:v>
                </c:pt>
                <c:pt idx="50">
                  <c:v>0.77532244810000006</c:v>
                </c:pt>
                <c:pt idx="51">
                  <c:v>0.78858687110000003</c:v>
                </c:pt>
                <c:pt idx="52">
                  <c:v>0.8016231734</c:v>
                </c:pt>
                <c:pt idx="53">
                  <c:v>0.81444834259999999</c:v>
                </c:pt>
                <c:pt idx="54">
                  <c:v>0.82670104889999996</c:v>
                </c:pt>
                <c:pt idx="55">
                  <c:v>0.83889574970000003</c:v>
                </c:pt>
                <c:pt idx="56">
                  <c:v>0.85085624960000006</c:v>
                </c:pt>
                <c:pt idx="57">
                  <c:v>0.86223208779999994</c:v>
                </c:pt>
                <c:pt idx="58">
                  <c:v>0.8736040477</c:v>
                </c:pt>
                <c:pt idx="59">
                  <c:v>0.88476862379999999</c:v>
                </c:pt>
                <c:pt idx="60">
                  <c:v>0.89537123489999992</c:v>
                </c:pt>
                <c:pt idx="61">
                  <c:v>0.90612757770000008</c:v>
                </c:pt>
                <c:pt idx="62">
                  <c:v>0.91639550260000002</c:v>
                </c:pt>
                <c:pt idx="63">
                  <c:v>0.92635247129999998</c:v>
                </c:pt>
                <c:pt idx="64">
                  <c:v>0.93627813770000001</c:v>
                </c:pt>
                <c:pt idx="65">
                  <c:v>0.94553669879999991</c:v>
                </c:pt>
                <c:pt idx="66">
                  <c:v>0.955049712</c:v>
                </c:pt>
                <c:pt idx="67">
                  <c:v>0.96415870059999997</c:v>
                </c:pt>
                <c:pt idx="68">
                  <c:v>0.97292978009999997</c:v>
                </c:pt>
                <c:pt idx="69">
                  <c:v>0.9814334576</c:v>
                </c:pt>
                <c:pt idx="70">
                  <c:v>0.98956841959999997</c:v>
                </c:pt>
                <c:pt idx="71">
                  <c:v>0.99744928460000004</c:v>
                </c:pt>
                <c:pt idx="72">
                  <c:v>1.00504989</c:v>
                </c:pt>
                <c:pt idx="73">
                  <c:v>1.0127017149999999</c:v>
                </c:pt>
                <c:pt idx="74">
                  <c:v>1.019881558</c:v>
                </c:pt>
                <c:pt idx="75">
                  <c:v>1.0266556630000001</c:v>
                </c:pt>
                <c:pt idx="76">
                  <c:v>1.0332442690000001</c:v>
                </c:pt>
                <c:pt idx="77">
                  <c:v>1.039817869</c:v>
                </c:pt>
                <c:pt idx="78">
                  <c:v>1.0462839779999999</c:v>
                </c:pt>
                <c:pt idx="79">
                  <c:v>1.052065099</c:v>
                </c:pt>
                <c:pt idx="80">
                  <c:v>1.058261251</c:v>
                </c:pt>
                <c:pt idx="81">
                  <c:v>1.0637722999999999</c:v>
                </c:pt>
                <c:pt idx="82">
                  <c:v>1.0687315639999999</c:v>
                </c:pt>
                <c:pt idx="83">
                  <c:v>1.073419058</c:v>
                </c:pt>
                <c:pt idx="84">
                  <c:v>1.0782745309999999</c:v>
                </c:pt>
                <c:pt idx="85">
                  <c:v>1.0826293440000001</c:v>
                </c:pt>
                <c:pt idx="86">
                  <c:v>1.0864538610000001</c:v>
                </c:pt>
                <c:pt idx="87">
                  <c:v>1.0899931570000001</c:v>
                </c:pt>
                <c:pt idx="88">
                  <c:v>1.0933182800000001</c:v>
                </c:pt>
                <c:pt idx="89">
                  <c:v>1.096568719</c:v>
                </c:pt>
                <c:pt idx="90">
                  <c:v>1.09963487</c:v>
                </c:pt>
                <c:pt idx="91">
                  <c:v>1.1020588630000001</c:v>
                </c:pt>
                <c:pt idx="92">
                  <c:v>1.1048317169999999</c:v>
                </c:pt>
                <c:pt idx="93">
                  <c:v>1.10731472</c:v>
                </c:pt>
                <c:pt idx="94">
                  <c:v>1.1089620760000001</c:v>
                </c:pt>
                <c:pt idx="95">
                  <c:v>1.110956075</c:v>
                </c:pt>
                <c:pt idx="96">
                  <c:v>1.112791978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E-4C20-9884-A3848984F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54911"/>
        <c:axId val="472354495"/>
      </c:scatterChart>
      <c:valAx>
        <c:axId val="47235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000000_-;\-* #,##0.000000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2354495"/>
        <c:crosses val="autoZero"/>
        <c:crossBetween val="midCat"/>
      </c:valAx>
      <c:valAx>
        <c:axId val="4723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000000_-;\-* #,##0.000000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235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'FUNCIONES PARTICULARES'!$B$1</c:f>
              <c:strCache>
                <c:ptCount val="1"/>
                <c:pt idx="0">
                  <c:v>Distancia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7507950920123643"/>
                  <c:y val="-3.6284995625546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'FUNCIONES PARTICULARES'!$A$2:$A$25</c:f>
              <c:numCache>
                <c:formatCode>General</c:formatCode>
                <c:ptCount val="24"/>
                <c:pt idx="0">
                  <c:v>0</c:v>
                </c:pt>
                <c:pt idx="1">
                  <c:v>3.3366666670000003E-2</c:v>
                </c:pt>
                <c:pt idx="2">
                  <c:v>6.6733333329999991E-2</c:v>
                </c:pt>
                <c:pt idx="3">
                  <c:v>0.10009999999999999</c:v>
                </c:pt>
                <c:pt idx="4">
                  <c:v>0.13346666670000001</c:v>
                </c:pt>
                <c:pt idx="5">
                  <c:v>0.16683333330000003</c:v>
                </c:pt>
                <c:pt idx="6">
                  <c:v>0.20019999999999999</c:v>
                </c:pt>
                <c:pt idx="7">
                  <c:v>0.23356666669999998</c:v>
                </c:pt>
                <c:pt idx="8">
                  <c:v>0.26693333330000002</c:v>
                </c:pt>
                <c:pt idx="9">
                  <c:v>0.30030000000000001</c:v>
                </c:pt>
                <c:pt idx="10">
                  <c:v>0.3336666667</c:v>
                </c:pt>
                <c:pt idx="11">
                  <c:v>0.36703333329999999</c:v>
                </c:pt>
                <c:pt idx="12">
                  <c:v>0.40039999999999998</c:v>
                </c:pt>
                <c:pt idx="13">
                  <c:v>0.43376666669999997</c:v>
                </c:pt>
                <c:pt idx="14">
                  <c:v>0.46713333330000001</c:v>
                </c:pt>
                <c:pt idx="15">
                  <c:v>0.50049999999999994</c:v>
                </c:pt>
                <c:pt idx="16">
                  <c:v>0.53386666669999994</c:v>
                </c:pt>
                <c:pt idx="17">
                  <c:v>0.56723333329999992</c:v>
                </c:pt>
                <c:pt idx="18">
                  <c:v>0.60060000000000002</c:v>
                </c:pt>
                <c:pt idx="19">
                  <c:v>0.63396666670000001</c:v>
                </c:pt>
                <c:pt idx="20">
                  <c:v>0.6673333333</c:v>
                </c:pt>
                <c:pt idx="21">
                  <c:v>0.70069999999999999</c:v>
                </c:pt>
                <c:pt idx="22">
                  <c:v>0.73406666670000009</c:v>
                </c:pt>
                <c:pt idx="23">
                  <c:v>0.76743333329999996</c:v>
                </c:pt>
              </c:numCache>
            </c:numRef>
          </c:xVal>
          <c:yVal>
            <c:numRef>
              <c:f>'FUNCIONES PARTICULARES'!$B$2:$B$25</c:f>
              <c:numCache>
                <c:formatCode>General</c:formatCode>
                <c:ptCount val="24"/>
                <c:pt idx="0">
                  <c:v>-2.7398070289999998E-4</c:v>
                </c:pt>
                <c:pt idx="1">
                  <c:v>-1.3407361859999999E-4</c:v>
                </c:pt>
                <c:pt idx="2">
                  <c:v>9.1519774829999995E-4</c:v>
                </c:pt>
                <c:pt idx="3">
                  <c:v>4.157871344E-3</c:v>
                </c:pt>
                <c:pt idx="4">
                  <c:v>6.9729604890000005E-3</c:v>
                </c:pt>
                <c:pt idx="5">
                  <c:v>8.7174609559999994E-3</c:v>
                </c:pt>
                <c:pt idx="6">
                  <c:v>1.290740307E-2</c:v>
                </c:pt>
                <c:pt idx="7">
                  <c:v>1.9451789269999999E-2</c:v>
                </c:pt>
                <c:pt idx="8">
                  <c:v>2.8181138370000001E-2</c:v>
                </c:pt>
                <c:pt idx="9">
                  <c:v>3.8721059659999994E-2</c:v>
                </c:pt>
                <c:pt idx="10">
                  <c:v>5.0817285299999994E-2</c:v>
                </c:pt>
                <c:pt idx="11">
                  <c:v>6.4422786039999999E-2</c:v>
                </c:pt>
                <c:pt idx="12">
                  <c:v>7.9594331200000007E-2</c:v>
                </c:pt>
                <c:pt idx="13">
                  <c:v>9.5653126919999998E-2</c:v>
                </c:pt>
                <c:pt idx="14">
                  <c:v>0.11297581479999999</c:v>
                </c:pt>
                <c:pt idx="15">
                  <c:v>0.13112939870000001</c:v>
                </c:pt>
                <c:pt idx="16">
                  <c:v>0.15079520019999998</c:v>
                </c:pt>
                <c:pt idx="17">
                  <c:v>0.17159899249999999</c:v>
                </c:pt>
                <c:pt idx="18">
                  <c:v>0.1924170895</c:v>
                </c:pt>
                <c:pt idx="19">
                  <c:v>0.21380624400000001</c:v>
                </c:pt>
                <c:pt idx="20">
                  <c:v>0.23602067419999997</c:v>
                </c:pt>
                <c:pt idx="21">
                  <c:v>0.25840839539999999</c:v>
                </c:pt>
                <c:pt idx="22">
                  <c:v>0.28092579779999999</c:v>
                </c:pt>
                <c:pt idx="23">
                  <c:v>0.30301298389999998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9-4316-8DE4-3B87F680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738607"/>
        <c:axId val="458741103"/>
      </c:scatterChart>
      <c:valAx>
        <c:axId val="458738607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8741103"/>
        <c:crosses val="autoZero"/>
        <c:crossBetween val="midCat"/>
      </c:valAx>
      <c:valAx>
        <c:axId val="4587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Diatancia(m)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873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'FUNCIONES PARTICULARES'!$E$1</c:f>
              <c:strCache>
                <c:ptCount val="1"/>
                <c:pt idx="0">
                  <c:v>Distancia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993004376085302"/>
                  <c:y val="-3.11142527463677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'FUNCIONES PARTICULARES'!$D$2:$D$73</c:f>
              <c:numCache>
                <c:formatCode>General</c:formatCode>
                <c:ptCount val="72"/>
                <c:pt idx="0">
                  <c:v>0.76743333329999996</c:v>
                </c:pt>
                <c:pt idx="1">
                  <c:v>0.80079999999999996</c:v>
                </c:pt>
                <c:pt idx="2">
                  <c:v>0.83416666670000006</c:v>
                </c:pt>
                <c:pt idx="3">
                  <c:v>0.86753333329999993</c:v>
                </c:pt>
                <c:pt idx="4">
                  <c:v>0.90090000000000003</c:v>
                </c:pt>
                <c:pt idx="5">
                  <c:v>0.93426666670000003</c:v>
                </c:pt>
                <c:pt idx="6">
                  <c:v>0.9676333332999999</c:v>
                </c:pt>
                <c:pt idx="7">
                  <c:v>1.0009999999999999</c:v>
                </c:pt>
                <c:pt idx="8">
                  <c:v>1.034366667</c:v>
                </c:pt>
                <c:pt idx="9">
                  <c:v>1.0677333330000001</c:v>
                </c:pt>
                <c:pt idx="10">
                  <c:v>1.1011</c:v>
                </c:pt>
                <c:pt idx="11">
                  <c:v>1.1344666670000001</c:v>
                </c:pt>
                <c:pt idx="12">
                  <c:v>1.1678333329999999</c:v>
                </c:pt>
                <c:pt idx="13">
                  <c:v>1.2012</c:v>
                </c:pt>
                <c:pt idx="14">
                  <c:v>1.234566667</c:v>
                </c:pt>
                <c:pt idx="15">
                  <c:v>1.267933333</c:v>
                </c:pt>
                <c:pt idx="16">
                  <c:v>1.3012999999999999</c:v>
                </c:pt>
                <c:pt idx="17">
                  <c:v>1.334666667</c:v>
                </c:pt>
                <c:pt idx="18">
                  <c:v>1.3680333330000001</c:v>
                </c:pt>
                <c:pt idx="19">
                  <c:v>1.4014</c:v>
                </c:pt>
                <c:pt idx="20">
                  <c:v>1.4347666670000001</c:v>
                </c:pt>
                <c:pt idx="21">
                  <c:v>1.4681333329999999</c:v>
                </c:pt>
                <c:pt idx="22">
                  <c:v>1.5015000000000001</c:v>
                </c:pt>
                <c:pt idx="23">
                  <c:v>1.534866667</c:v>
                </c:pt>
                <c:pt idx="24">
                  <c:v>1.568233333</c:v>
                </c:pt>
                <c:pt idx="25">
                  <c:v>1.6015999999999999</c:v>
                </c:pt>
                <c:pt idx="26">
                  <c:v>1.634966667</c:v>
                </c:pt>
                <c:pt idx="27">
                  <c:v>1.6683333330000001</c:v>
                </c:pt>
                <c:pt idx="28">
                  <c:v>1.7017</c:v>
                </c:pt>
                <c:pt idx="29">
                  <c:v>1.7350666669999999</c:v>
                </c:pt>
                <c:pt idx="30">
                  <c:v>1.7684333329999999</c:v>
                </c:pt>
                <c:pt idx="31">
                  <c:v>1.8018000000000001</c:v>
                </c:pt>
                <c:pt idx="32">
                  <c:v>1.835166667</c:v>
                </c:pt>
                <c:pt idx="33">
                  <c:v>1.868533333</c:v>
                </c:pt>
                <c:pt idx="34">
                  <c:v>1.9018999999999999</c:v>
                </c:pt>
                <c:pt idx="35">
                  <c:v>1.9352666670000001</c:v>
                </c:pt>
                <c:pt idx="36">
                  <c:v>1.9686333330000001</c:v>
                </c:pt>
                <c:pt idx="37">
                  <c:v>2.0019999999999998</c:v>
                </c:pt>
                <c:pt idx="38">
                  <c:v>2.0353666669999999</c:v>
                </c:pt>
                <c:pt idx="39">
                  <c:v>2.068733333</c:v>
                </c:pt>
                <c:pt idx="40">
                  <c:v>2.1021000000000001</c:v>
                </c:pt>
                <c:pt idx="41">
                  <c:v>2.1354666670000002</c:v>
                </c:pt>
                <c:pt idx="42">
                  <c:v>2.1688333329999998</c:v>
                </c:pt>
                <c:pt idx="43">
                  <c:v>2.2021999999999999</c:v>
                </c:pt>
                <c:pt idx="44">
                  <c:v>2.2355666670000001</c:v>
                </c:pt>
                <c:pt idx="45">
                  <c:v>2.2689333330000001</c:v>
                </c:pt>
                <c:pt idx="46">
                  <c:v>2.3022999999999998</c:v>
                </c:pt>
                <c:pt idx="47">
                  <c:v>2.3356666669999999</c:v>
                </c:pt>
                <c:pt idx="48">
                  <c:v>2.369033333</c:v>
                </c:pt>
                <c:pt idx="49">
                  <c:v>2.4024000000000001</c:v>
                </c:pt>
                <c:pt idx="50">
                  <c:v>2.4357666670000002</c:v>
                </c:pt>
                <c:pt idx="51">
                  <c:v>2.4691333329999998</c:v>
                </c:pt>
                <c:pt idx="52">
                  <c:v>2.5024999999999999</c:v>
                </c:pt>
                <c:pt idx="53">
                  <c:v>2.5358666670000001</c:v>
                </c:pt>
                <c:pt idx="54">
                  <c:v>2.5692333330000001</c:v>
                </c:pt>
                <c:pt idx="55">
                  <c:v>2.6025999999999998</c:v>
                </c:pt>
                <c:pt idx="56">
                  <c:v>2.6359666669999999</c:v>
                </c:pt>
                <c:pt idx="57">
                  <c:v>2.669333333</c:v>
                </c:pt>
                <c:pt idx="58">
                  <c:v>2.7027000000000001</c:v>
                </c:pt>
                <c:pt idx="59">
                  <c:v>2.7360666669999998</c:v>
                </c:pt>
                <c:pt idx="60">
                  <c:v>2.7694333329999998</c:v>
                </c:pt>
                <c:pt idx="61">
                  <c:v>2.8028</c:v>
                </c:pt>
                <c:pt idx="62">
                  <c:v>2.8361666670000001</c:v>
                </c:pt>
                <c:pt idx="63">
                  <c:v>2.8695333330000001</c:v>
                </c:pt>
                <c:pt idx="64">
                  <c:v>2.9028999999999998</c:v>
                </c:pt>
                <c:pt idx="65">
                  <c:v>2.9362666669999999</c:v>
                </c:pt>
                <c:pt idx="66">
                  <c:v>2.969633333</c:v>
                </c:pt>
                <c:pt idx="67">
                  <c:v>3.0030000000000001</c:v>
                </c:pt>
                <c:pt idx="68">
                  <c:v>3.0363666669999998</c:v>
                </c:pt>
                <c:pt idx="69">
                  <c:v>3.0697333329999998</c:v>
                </c:pt>
                <c:pt idx="70">
                  <c:v>3.1031</c:v>
                </c:pt>
                <c:pt idx="71">
                  <c:v>3.1364666670000001</c:v>
                </c:pt>
              </c:numCache>
            </c:numRef>
          </c:xVal>
          <c:yVal>
            <c:numRef>
              <c:f>'FUNCIONES PARTICULARES'!$E$2:$E$73</c:f>
              <c:numCache>
                <c:formatCode>General</c:formatCode>
                <c:ptCount val="72"/>
                <c:pt idx="0">
                  <c:v>0.30301298389999998</c:v>
                </c:pt>
                <c:pt idx="1">
                  <c:v>0.32453443970000001</c:v>
                </c:pt>
                <c:pt idx="2">
                  <c:v>0.34579829480000002</c:v>
                </c:pt>
                <c:pt idx="3">
                  <c:v>0.3665851987</c:v>
                </c:pt>
                <c:pt idx="4">
                  <c:v>0.38749294449999999</c:v>
                </c:pt>
                <c:pt idx="5">
                  <c:v>0.40774472880000001</c:v>
                </c:pt>
                <c:pt idx="6">
                  <c:v>0.42760070929999999</c:v>
                </c:pt>
                <c:pt idx="7">
                  <c:v>0.44750118239999997</c:v>
                </c:pt>
                <c:pt idx="8">
                  <c:v>0.46660081019999999</c:v>
                </c:pt>
                <c:pt idx="9">
                  <c:v>0.48550643999999998</c:v>
                </c:pt>
                <c:pt idx="10">
                  <c:v>0.50425632489999994</c:v>
                </c:pt>
                <c:pt idx="11">
                  <c:v>0.52284946659999998</c:v>
                </c:pt>
                <c:pt idx="12">
                  <c:v>0.5409011212999999</c:v>
                </c:pt>
                <c:pt idx="13">
                  <c:v>0.55867079549999998</c:v>
                </c:pt>
                <c:pt idx="14">
                  <c:v>0.57584981029999993</c:v>
                </c:pt>
                <c:pt idx="15">
                  <c:v>0.59238793599999995</c:v>
                </c:pt>
                <c:pt idx="16">
                  <c:v>0.60935307220000001</c:v>
                </c:pt>
                <c:pt idx="17">
                  <c:v>0.62605910520000008</c:v>
                </c:pt>
                <c:pt idx="18">
                  <c:v>0.64213216029999998</c:v>
                </c:pt>
                <c:pt idx="19">
                  <c:v>0.65799961949999997</c:v>
                </c:pt>
                <c:pt idx="20">
                  <c:v>0.67340850539999997</c:v>
                </c:pt>
                <c:pt idx="21">
                  <c:v>0.6885753456</c:v>
                </c:pt>
                <c:pt idx="22">
                  <c:v>0.70390079429999997</c:v>
                </c:pt>
                <c:pt idx="23">
                  <c:v>0.71874594920000001</c:v>
                </c:pt>
                <c:pt idx="24">
                  <c:v>0.73317097310000001</c:v>
                </c:pt>
                <c:pt idx="25">
                  <c:v>0.74755235329999992</c:v>
                </c:pt>
                <c:pt idx="26">
                  <c:v>0.76151270339999999</c:v>
                </c:pt>
                <c:pt idx="27">
                  <c:v>0.77532244810000006</c:v>
                </c:pt>
                <c:pt idx="28">
                  <c:v>0.78858687110000003</c:v>
                </c:pt>
                <c:pt idx="29">
                  <c:v>0.8016231734</c:v>
                </c:pt>
                <c:pt idx="30">
                  <c:v>0.81444834259999999</c:v>
                </c:pt>
                <c:pt idx="31">
                  <c:v>0.82670104889999996</c:v>
                </c:pt>
                <c:pt idx="32">
                  <c:v>0.83889574970000003</c:v>
                </c:pt>
                <c:pt idx="33">
                  <c:v>0.85085624960000006</c:v>
                </c:pt>
                <c:pt idx="34">
                  <c:v>0.86223208779999994</c:v>
                </c:pt>
                <c:pt idx="35">
                  <c:v>0.8736040477</c:v>
                </c:pt>
                <c:pt idx="36">
                  <c:v>0.88476862379999999</c:v>
                </c:pt>
                <c:pt idx="37">
                  <c:v>0.89537123489999992</c:v>
                </c:pt>
                <c:pt idx="38">
                  <c:v>0.90612757770000008</c:v>
                </c:pt>
                <c:pt idx="39">
                  <c:v>0.91639550260000002</c:v>
                </c:pt>
                <c:pt idx="40">
                  <c:v>0.92635247129999998</c:v>
                </c:pt>
                <c:pt idx="41">
                  <c:v>0.93627813770000001</c:v>
                </c:pt>
                <c:pt idx="42">
                  <c:v>0.94553669879999991</c:v>
                </c:pt>
                <c:pt idx="43">
                  <c:v>0.955049712</c:v>
                </c:pt>
                <c:pt idx="44">
                  <c:v>0.96415870059999997</c:v>
                </c:pt>
                <c:pt idx="45">
                  <c:v>0.97292978009999997</c:v>
                </c:pt>
                <c:pt idx="46">
                  <c:v>0.9814334576</c:v>
                </c:pt>
                <c:pt idx="47">
                  <c:v>0.98956841959999997</c:v>
                </c:pt>
                <c:pt idx="48">
                  <c:v>0.99744928460000004</c:v>
                </c:pt>
                <c:pt idx="49">
                  <c:v>1.00504989</c:v>
                </c:pt>
                <c:pt idx="50">
                  <c:v>1.0127017149999999</c:v>
                </c:pt>
                <c:pt idx="51">
                  <c:v>1.019881558</c:v>
                </c:pt>
                <c:pt idx="52">
                  <c:v>1.0266556630000001</c:v>
                </c:pt>
                <c:pt idx="53">
                  <c:v>1.0332442690000001</c:v>
                </c:pt>
                <c:pt idx="54">
                  <c:v>1.039817869</c:v>
                </c:pt>
                <c:pt idx="55">
                  <c:v>1.0462839779999999</c:v>
                </c:pt>
                <c:pt idx="56">
                  <c:v>1.052065099</c:v>
                </c:pt>
                <c:pt idx="57">
                  <c:v>1.058261251</c:v>
                </c:pt>
                <c:pt idx="58">
                  <c:v>1.0637722999999999</c:v>
                </c:pt>
                <c:pt idx="59">
                  <c:v>1.0687315639999999</c:v>
                </c:pt>
                <c:pt idx="60">
                  <c:v>1.073419058</c:v>
                </c:pt>
                <c:pt idx="61">
                  <c:v>1.0782745309999999</c:v>
                </c:pt>
                <c:pt idx="62">
                  <c:v>1.0826293440000001</c:v>
                </c:pt>
                <c:pt idx="63">
                  <c:v>1.0864538610000001</c:v>
                </c:pt>
                <c:pt idx="64">
                  <c:v>1.0899931570000001</c:v>
                </c:pt>
                <c:pt idx="65">
                  <c:v>1.0933182800000001</c:v>
                </c:pt>
                <c:pt idx="66">
                  <c:v>1.096568719</c:v>
                </c:pt>
                <c:pt idx="67">
                  <c:v>1.09963487</c:v>
                </c:pt>
                <c:pt idx="68">
                  <c:v>1.1020588630000001</c:v>
                </c:pt>
                <c:pt idx="69">
                  <c:v>1.1048317169999999</c:v>
                </c:pt>
                <c:pt idx="70">
                  <c:v>1.10731472</c:v>
                </c:pt>
                <c:pt idx="71">
                  <c:v>1.1089620760000001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A-411C-855A-C923D788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740271"/>
        <c:axId val="458735279"/>
      </c:scatterChart>
      <c:valAx>
        <c:axId val="458740271"/>
        <c:scaling>
          <c:orientation val="minMax"/>
          <c:max val="3.2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8735279"/>
        <c:crosses val="autoZero"/>
        <c:crossBetween val="midCat"/>
        <c:majorUnit val="0.2"/>
      </c:valAx>
      <c:valAx>
        <c:axId val="458735279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Distancia(m)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87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1</xdr:row>
      <xdr:rowOff>57150</xdr:rowOff>
    </xdr:from>
    <xdr:to>
      <xdr:col>14</xdr:col>
      <xdr:colOff>266700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419100</xdr:colOff>
      <xdr:row>25</xdr:row>
      <xdr:rowOff>19050</xdr:rowOff>
    </xdr:from>
    <xdr:ext cx="1642437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8020050" y="4781550"/>
              <a:ext cx="1642437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−0.1672</m:t>
                        </m:r>
                      </m:num>
                      <m:den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−0.2154</m:t>
                        </m:r>
                      </m:den>
                    </m:f>
                    <m:r>
                      <a:rPr lang="es-MX" sz="1100" i="1">
                        <a:latin typeface="Cambria Math" panose="02040503050406030204" pitchFamily="18" charset="0"/>
                      </a:rPr>
                      <m:t>=0.7762</m:t>
                    </m:r>
                    <m:d>
                      <m:dPr>
                        <m:begChr m:val="["/>
                        <m:endChr m:val="]"/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d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8020050" y="4781550"/>
              <a:ext cx="1642437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𝑥=(−0.1672)/(−0.2154)=0.7762[𝑚]</a:t>
              </a:r>
              <a:endParaRPr lang="es-MX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180975</xdr:rowOff>
    </xdr:from>
    <xdr:to>
      <xdr:col>2</xdr:col>
      <xdr:colOff>5267325</xdr:colOff>
      <xdr:row>15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200024</xdr:colOff>
      <xdr:row>0</xdr:row>
      <xdr:rowOff>180974</xdr:rowOff>
    </xdr:from>
    <xdr:to>
      <xdr:col>5</xdr:col>
      <xdr:colOff>4486275</xdr:colOff>
      <xdr:row>17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1838325</xdr:colOff>
      <xdr:row>27</xdr:row>
      <xdr:rowOff>114300</xdr:rowOff>
    </xdr:from>
    <xdr:ext cx="1272015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10534650" y="3543300"/>
              <a:ext cx="12720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s-MX" sz="1100" i="1"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10534650" y="3543300"/>
              <a:ext cx="12720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𝑥=𝑥_0+𝑣_0</a:t>
              </a:r>
              <a:r>
                <a:rPr lang="es-MX" sz="1100" b="0" i="0">
                  <a:latin typeface="Cambria Math" panose="02040503050406030204" pitchFamily="18" charset="0"/>
                </a:rPr>
                <a:t> 𝑡</a:t>
              </a:r>
              <a:r>
                <a:rPr lang="es-MX" sz="1100" i="0">
                  <a:latin typeface="Cambria Math" panose="02040503050406030204" pitchFamily="18" charset="0"/>
                </a:rPr>
                <a:t>+1/2 𝑎𝑡^2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2009775</xdr:colOff>
      <xdr:row>33</xdr:row>
      <xdr:rowOff>9525</xdr:rowOff>
    </xdr:from>
    <xdr:ext cx="788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3629025" y="4581525"/>
              <a:ext cx="788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𝑣𝑜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+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𝑎𝑡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3629025" y="4581525"/>
              <a:ext cx="788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𝑣=𝑣𝑜 +𝑎𝑡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1838325</xdr:colOff>
      <xdr:row>39</xdr:row>
      <xdr:rowOff>114300</xdr:rowOff>
    </xdr:from>
    <xdr:ext cx="1272015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457575" y="6019800"/>
              <a:ext cx="12720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s-MX" sz="1100" i="1"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457575" y="6019800"/>
              <a:ext cx="12720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𝑥=𝑥_0+𝑣_0</a:t>
              </a:r>
              <a:r>
                <a:rPr lang="es-MX" sz="1100" b="0" i="0">
                  <a:latin typeface="Cambria Math" panose="02040503050406030204" pitchFamily="18" charset="0"/>
                </a:rPr>
                <a:t> 𝑡</a:t>
              </a:r>
              <a:r>
                <a:rPr lang="es-MX" sz="1100" i="0">
                  <a:latin typeface="Cambria Math" panose="02040503050406030204" pitchFamily="18" charset="0"/>
                </a:rPr>
                <a:t>+1/2 𝑎𝑡^2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92" zoomScaleNormal="160" workbookViewId="0">
      <selection activeCell="G37" sqref="G37"/>
    </sheetView>
  </sheetViews>
  <sheetFormatPr baseColWidth="10" defaultColWidth="11.42578125" defaultRowHeight="15" x14ac:dyDescent="0.25"/>
  <cols>
    <col min="1" max="2" width="17.85546875" bestFit="1" customWidth="1"/>
    <col min="3" max="3" width="3.140625" customWidth="1"/>
    <col min="4" max="5" width="18.140625" bestFit="1" customWidth="1"/>
    <col min="6" max="6" width="16" customWidth="1"/>
  </cols>
  <sheetData>
    <row r="1" spans="1:6" x14ac:dyDescent="0.25">
      <c r="A1" s="16" t="s">
        <v>0</v>
      </c>
      <c r="B1" s="16"/>
      <c r="C1" s="11"/>
      <c r="D1" s="16" t="s">
        <v>1</v>
      </c>
      <c r="E1" s="16"/>
      <c r="F1" s="11"/>
    </row>
    <row r="2" spans="1:6" x14ac:dyDescent="0.25">
      <c r="A2" s="11" t="s">
        <v>2</v>
      </c>
      <c r="B2" s="11" t="s">
        <v>3</v>
      </c>
      <c r="C2" s="11"/>
      <c r="D2" s="11" t="s">
        <v>4</v>
      </c>
      <c r="E2" s="11" t="s">
        <v>5</v>
      </c>
      <c r="F2" s="11"/>
    </row>
    <row r="3" spans="1:6" x14ac:dyDescent="0.25">
      <c r="A3" s="1" t="s">
        <v>6</v>
      </c>
      <c r="B3" s="1">
        <v>-273980.70289999997</v>
      </c>
      <c r="C3" s="11"/>
      <c r="D3" s="2">
        <v>0</v>
      </c>
      <c r="E3" s="3">
        <f t="shared" ref="E3:E66" si="0">B3/1000000000</f>
        <v>-2.7398070289999998E-4</v>
      </c>
      <c r="F3" s="11"/>
    </row>
    <row r="4" spans="1:6" x14ac:dyDescent="0.25">
      <c r="A4" s="1">
        <v>33366666.670000002</v>
      </c>
      <c r="B4" s="1">
        <v>-134073.61859999999</v>
      </c>
      <c r="C4" s="11"/>
      <c r="D4" s="3">
        <f t="shared" ref="D4:D66" si="1">A4/1000000000</f>
        <v>3.3366666670000003E-2</v>
      </c>
      <c r="E4" s="3">
        <f t="shared" si="0"/>
        <v>-1.3407361859999999E-4</v>
      </c>
      <c r="F4" s="11"/>
    </row>
    <row r="5" spans="1:6" x14ac:dyDescent="0.25">
      <c r="A5" s="1">
        <v>66733333.329999998</v>
      </c>
      <c r="B5" s="1">
        <v>915197.74829999998</v>
      </c>
      <c r="C5" s="11"/>
      <c r="D5" s="3">
        <f t="shared" si="1"/>
        <v>6.6733333329999991E-2</v>
      </c>
      <c r="E5" s="3">
        <f t="shared" si="0"/>
        <v>9.1519774829999995E-4</v>
      </c>
      <c r="F5" s="11"/>
    </row>
    <row r="6" spans="1:6" x14ac:dyDescent="0.25">
      <c r="A6" s="1">
        <v>100100000</v>
      </c>
      <c r="B6" s="1">
        <v>4157871.344</v>
      </c>
      <c r="C6" s="11"/>
      <c r="D6" s="3">
        <f t="shared" si="1"/>
        <v>0.10009999999999999</v>
      </c>
      <c r="E6" s="3">
        <f t="shared" si="0"/>
        <v>4.157871344E-3</v>
      </c>
      <c r="F6" s="11"/>
    </row>
    <row r="7" spans="1:6" x14ac:dyDescent="0.25">
      <c r="A7" s="1">
        <v>133466666.7</v>
      </c>
      <c r="B7" s="1">
        <v>6972960.4890000001</v>
      </c>
      <c r="C7" s="11"/>
      <c r="D7" s="3">
        <f t="shared" si="1"/>
        <v>0.13346666670000001</v>
      </c>
      <c r="E7" s="3">
        <f t="shared" si="0"/>
        <v>6.9729604890000005E-3</v>
      </c>
      <c r="F7" s="11"/>
    </row>
    <row r="8" spans="1:6" x14ac:dyDescent="0.25">
      <c r="A8" s="1">
        <v>166833333.30000001</v>
      </c>
      <c r="B8" s="1">
        <v>8717460.9560000002</v>
      </c>
      <c r="C8" s="11"/>
      <c r="D8" s="3">
        <f t="shared" si="1"/>
        <v>0.16683333330000003</v>
      </c>
      <c r="E8" s="3">
        <f t="shared" si="0"/>
        <v>8.7174609559999994E-3</v>
      </c>
      <c r="F8" s="11"/>
    </row>
    <row r="9" spans="1:6" x14ac:dyDescent="0.25">
      <c r="A9" s="1">
        <v>200200000</v>
      </c>
      <c r="B9" s="1">
        <v>12907403.07</v>
      </c>
      <c r="C9" s="11"/>
      <c r="D9" s="3">
        <f t="shared" si="1"/>
        <v>0.20019999999999999</v>
      </c>
      <c r="E9" s="3">
        <f t="shared" si="0"/>
        <v>1.290740307E-2</v>
      </c>
      <c r="F9" s="11"/>
    </row>
    <row r="10" spans="1:6" x14ac:dyDescent="0.25">
      <c r="A10" s="1">
        <v>233566666.69999999</v>
      </c>
      <c r="B10" s="1">
        <v>19451789.27</v>
      </c>
      <c r="C10" s="11"/>
      <c r="D10" s="3">
        <f t="shared" si="1"/>
        <v>0.23356666669999998</v>
      </c>
      <c r="E10" s="3">
        <f t="shared" si="0"/>
        <v>1.9451789269999999E-2</v>
      </c>
      <c r="F10" s="11"/>
    </row>
    <row r="11" spans="1:6" x14ac:dyDescent="0.25">
      <c r="A11" s="1">
        <v>266933333.30000001</v>
      </c>
      <c r="B11" s="1">
        <v>28181138.370000001</v>
      </c>
      <c r="C11" s="11"/>
      <c r="D11" s="3">
        <f t="shared" si="1"/>
        <v>0.26693333330000002</v>
      </c>
      <c r="E11" s="3">
        <f t="shared" si="0"/>
        <v>2.8181138370000001E-2</v>
      </c>
      <c r="F11" s="11"/>
    </row>
    <row r="12" spans="1:6" x14ac:dyDescent="0.25">
      <c r="A12" s="1">
        <v>300300000</v>
      </c>
      <c r="B12" s="1">
        <v>38721059.659999996</v>
      </c>
      <c r="C12" s="11"/>
      <c r="D12" s="3">
        <f t="shared" si="1"/>
        <v>0.30030000000000001</v>
      </c>
      <c r="E12" s="3">
        <f t="shared" si="0"/>
        <v>3.8721059659999994E-2</v>
      </c>
      <c r="F12" s="11"/>
    </row>
    <row r="13" spans="1:6" x14ac:dyDescent="0.25">
      <c r="A13" s="1">
        <v>333666666.69999999</v>
      </c>
      <c r="B13" s="1">
        <v>50817285.299999997</v>
      </c>
      <c r="C13" s="11"/>
      <c r="D13" s="3">
        <f t="shared" si="1"/>
        <v>0.3336666667</v>
      </c>
      <c r="E13" s="3">
        <f t="shared" si="0"/>
        <v>5.0817285299999994E-2</v>
      </c>
      <c r="F13" s="11"/>
    </row>
    <row r="14" spans="1:6" x14ac:dyDescent="0.25">
      <c r="A14" s="1">
        <v>367033333.30000001</v>
      </c>
      <c r="B14" s="1">
        <v>64422786.039999999</v>
      </c>
      <c r="C14" s="11"/>
      <c r="D14" s="3">
        <f t="shared" si="1"/>
        <v>0.36703333329999999</v>
      </c>
      <c r="E14" s="3">
        <f t="shared" si="0"/>
        <v>6.4422786039999999E-2</v>
      </c>
      <c r="F14" s="11"/>
    </row>
    <row r="15" spans="1:6" x14ac:dyDescent="0.25">
      <c r="A15" s="1">
        <v>400400000</v>
      </c>
      <c r="B15" s="1">
        <v>79594331.200000003</v>
      </c>
      <c r="C15" s="11"/>
      <c r="D15" s="3">
        <f t="shared" si="1"/>
        <v>0.40039999999999998</v>
      </c>
      <c r="E15" s="3">
        <f t="shared" si="0"/>
        <v>7.9594331200000007E-2</v>
      </c>
      <c r="F15" s="11"/>
    </row>
    <row r="16" spans="1:6" x14ac:dyDescent="0.25">
      <c r="A16" s="1">
        <v>433766666.69999999</v>
      </c>
      <c r="B16" s="1">
        <v>95653126.920000002</v>
      </c>
      <c r="C16" s="11"/>
      <c r="D16" s="3">
        <f t="shared" si="1"/>
        <v>0.43376666669999997</v>
      </c>
      <c r="E16" s="3">
        <f t="shared" si="0"/>
        <v>9.5653126919999998E-2</v>
      </c>
      <c r="F16" s="11"/>
    </row>
    <row r="17" spans="1:12" x14ac:dyDescent="0.25">
      <c r="A17" s="1">
        <v>467133333.30000001</v>
      </c>
      <c r="B17" s="1">
        <v>112975814.8</v>
      </c>
      <c r="C17" s="11"/>
      <c r="D17" s="3">
        <f t="shared" si="1"/>
        <v>0.46713333330000001</v>
      </c>
      <c r="E17" s="3">
        <f t="shared" si="0"/>
        <v>0.11297581479999999</v>
      </c>
      <c r="F17" s="11"/>
    </row>
    <row r="18" spans="1:12" x14ac:dyDescent="0.25">
      <c r="A18" s="1">
        <v>500500000</v>
      </c>
      <c r="B18" s="1">
        <v>131129398.7</v>
      </c>
      <c r="C18" s="11"/>
      <c r="D18" s="3">
        <f t="shared" si="1"/>
        <v>0.50049999999999994</v>
      </c>
      <c r="E18" s="3">
        <f t="shared" si="0"/>
        <v>0.13112939870000001</v>
      </c>
      <c r="F18" s="11"/>
      <c r="H18" s="14" t="s">
        <v>7</v>
      </c>
      <c r="I18" s="14"/>
      <c r="J18" s="14"/>
      <c r="K18" s="14"/>
      <c r="L18" s="14"/>
    </row>
    <row r="19" spans="1:12" x14ac:dyDescent="0.25">
      <c r="A19" s="1">
        <v>533866666.69999999</v>
      </c>
      <c r="B19" s="1">
        <v>150795200.19999999</v>
      </c>
      <c r="C19" s="11"/>
      <c r="D19" s="3">
        <f t="shared" si="1"/>
        <v>0.53386666669999994</v>
      </c>
      <c r="E19" s="3">
        <f t="shared" si="0"/>
        <v>0.15079520019999998</v>
      </c>
      <c r="F19" s="11"/>
      <c r="H19" s="14" t="s">
        <v>8</v>
      </c>
      <c r="I19" s="14"/>
      <c r="J19" s="14"/>
      <c r="K19" s="14"/>
      <c r="L19" s="14"/>
    </row>
    <row r="20" spans="1:12" x14ac:dyDescent="0.25">
      <c r="A20" s="1">
        <v>567233333.29999995</v>
      </c>
      <c r="B20" s="1">
        <v>171598992.5</v>
      </c>
      <c r="C20" s="11"/>
      <c r="D20" s="3">
        <f t="shared" si="1"/>
        <v>0.56723333329999992</v>
      </c>
      <c r="E20" s="3">
        <f t="shared" si="0"/>
        <v>0.17159899249999999</v>
      </c>
      <c r="F20" s="11"/>
      <c r="H20" s="14" t="s">
        <v>9</v>
      </c>
      <c r="I20" s="14"/>
      <c r="J20" s="14"/>
      <c r="K20" s="14"/>
      <c r="L20" s="14"/>
    </row>
    <row r="21" spans="1:12" x14ac:dyDescent="0.25">
      <c r="A21" s="1">
        <v>600600000</v>
      </c>
      <c r="B21" s="1">
        <v>192417089.5</v>
      </c>
      <c r="C21" s="11"/>
      <c r="D21" s="3">
        <f t="shared" si="1"/>
        <v>0.60060000000000002</v>
      </c>
      <c r="E21" s="3">
        <f t="shared" si="0"/>
        <v>0.1924170895</v>
      </c>
      <c r="F21" s="11"/>
      <c r="H21" s="14" t="s">
        <v>10</v>
      </c>
      <c r="I21" s="14"/>
      <c r="J21" s="14"/>
      <c r="K21" s="14"/>
      <c r="L21" s="14"/>
    </row>
    <row r="22" spans="1:12" x14ac:dyDescent="0.25">
      <c r="A22" s="1">
        <v>633966666.70000005</v>
      </c>
      <c r="B22" s="1">
        <v>213806244</v>
      </c>
      <c r="C22" s="11"/>
      <c r="D22" s="3">
        <f t="shared" si="1"/>
        <v>0.63396666670000001</v>
      </c>
      <c r="E22" s="3">
        <f t="shared" si="0"/>
        <v>0.21380624400000001</v>
      </c>
      <c r="F22" s="11"/>
      <c r="H22" s="14" t="s">
        <v>11</v>
      </c>
      <c r="I22" s="14"/>
      <c r="J22" s="14"/>
      <c r="K22" s="14"/>
      <c r="L22" s="14"/>
    </row>
    <row r="23" spans="1:12" x14ac:dyDescent="0.25">
      <c r="A23" s="1">
        <v>667333333.29999995</v>
      </c>
      <c r="B23" s="1">
        <v>236020674.19999999</v>
      </c>
      <c r="C23" s="11"/>
      <c r="D23" s="3">
        <f t="shared" si="1"/>
        <v>0.6673333333</v>
      </c>
      <c r="E23" s="3">
        <f t="shared" si="0"/>
        <v>0.23602067419999997</v>
      </c>
      <c r="F23" s="11"/>
      <c r="H23" s="14" t="s">
        <v>12</v>
      </c>
      <c r="I23" s="14"/>
      <c r="J23" s="14"/>
      <c r="K23" s="14"/>
      <c r="L23" s="14"/>
    </row>
    <row r="24" spans="1:12" x14ac:dyDescent="0.25">
      <c r="A24" s="1">
        <v>700700000</v>
      </c>
      <c r="B24" s="1">
        <v>258408395.40000001</v>
      </c>
      <c r="C24" s="11"/>
      <c r="D24" s="3">
        <f t="shared" si="1"/>
        <v>0.70069999999999999</v>
      </c>
      <c r="E24" s="3">
        <f t="shared" si="0"/>
        <v>0.25840839539999999</v>
      </c>
      <c r="F24" s="11"/>
    </row>
    <row r="25" spans="1:12" x14ac:dyDescent="0.25">
      <c r="A25" s="1">
        <v>734066666.70000005</v>
      </c>
      <c r="B25" s="1">
        <v>280925797.80000001</v>
      </c>
      <c r="C25" s="11"/>
      <c r="D25" s="3">
        <f t="shared" si="1"/>
        <v>0.73406666670000009</v>
      </c>
      <c r="E25" s="3">
        <f t="shared" si="0"/>
        <v>0.28092579779999999</v>
      </c>
      <c r="F25" s="11"/>
      <c r="H25" s="14" t="s">
        <v>13</v>
      </c>
      <c r="I25" s="14"/>
      <c r="J25" s="14"/>
      <c r="K25" s="14"/>
      <c r="L25" s="14"/>
    </row>
    <row r="26" spans="1:12" x14ac:dyDescent="0.25">
      <c r="A26" s="1">
        <v>767433333.29999995</v>
      </c>
      <c r="B26" s="1">
        <v>303012983.89999998</v>
      </c>
      <c r="C26" s="11"/>
      <c r="D26" s="6">
        <f t="shared" si="1"/>
        <v>0.76743333329999996</v>
      </c>
      <c r="E26" s="6">
        <f t="shared" si="0"/>
        <v>0.30301298389999998</v>
      </c>
      <c r="F26" s="11"/>
      <c r="H26" s="15"/>
      <c r="I26" s="14"/>
      <c r="J26" s="14"/>
      <c r="K26" s="14"/>
      <c r="L26" s="14"/>
    </row>
    <row r="27" spans="1:12" x14ac:dyDescent="0.25">
      <c r="A27" s="1">
        <v>800800000</v>
      </c>
      <c r="B27" s="1">
        <v>324534439.69999999</v>
      </c>
      <c r="C27" s="4"/>
      <c r="D27" s="5">
        <f t="shared" si="1"/>
        <v>0.80079999999999996</v>
      </c>
      <c r="E27" s="5">
        <f t="shared" si="0"/>
        <v>0.32453443970000001</v>
      </c>
      <c r="F27" s="11"/>
      <c r="H27" s="14"/>
      <c r="I27" s="14"/>
      <c r="J27" s="14"/>
      <c r="K27" s="14"/>
      <c r="L27" s="14"/>
    </row>
    <row r="28" spans="1:12" x14ac:dyDescent="0.25">
      <c r="A28" s="1">
        <v>834166666.70000005</v>
      </c>
      <c r="B28" s="1">
        <v>345798294.80000001</v>
      </c>
      <c r="C28" s="11"/>
      <c r="D28" s="3">
        <f t="shared" si="1"/>
        <v>0.83416666670000006</v>
      </c>
      <c r="E28" s="3">
        <f t="shared" si="0"/>
        <v>0.34579829480000002</v>
      </c>
      <c r="F28" s="11"/>
    </row>
    <row r="29" spans="1:12" x14ac:dyDescent="0.25">
      <c r="A29" s="1">
        <v>867533333.29999995</v>
      </c>
      <c r="B29" s="1">
        <v>366585198.69999999</v>
      </c>
      <c r="C29" s="11"/>
      <c r="D29" s="3">
        <f t="shared" si="1"/>
        <v>0.86753333329999993</v>
      </c>
      <c r="E29" s="3">
        <f t="shared" si="0"/>
        <v>0.3665851987</v>
      </c>
      <c r="F29" s="11"/>
    </row>
    <row r="30" spans="1:12" x14ac:dyDescent="0.25">
      <c r="A30" s="1">
        <v>900900000</v>
      </c>
      <c r="B30" s="1">
        <v>387492944.5</v>
      </c>
      <c r="C30" s="11"/>
      <c r="D30" s="3">
        <f t="shared" si="1"/>
        <v>0.90090000000000003</v>
      </c>
      <c r="E30" s="3">
        <f t="shared" si="0"/>
        <v>0.38749294449999999</v>
      </c>
      <c r="F30" s="11"/>
    </row>
    <row r="31" spans="1:12" x14ac:dyDescent="0.25">
      <c r="A31" s="1">
        <v>934266666.70000005</v>
      </c>
      <c r="B31" s="1">
        <v>407744728.80000001</v>
      </c>
      <c r="C31" s="11"/>
      <c r="D31" s="3">
        <f t="shared" si="1"/>
        <v>0.93426666670000003</v>
      </c>
      <c r="E31" s="3">
        <f t="shared" si="0"/>
        <v>0.40774472880000001</v>
      </c>
      <c r="F31" s="11"/>
    </row>
    <row r="32" spans="1:12" x14ac:dyDescent="0.25">
      <c r="A32" s="1">
        <v>967633333.29999995</v>
      </c>
      <c r="B32" s="1">
        <v>427600709.30000001</v>
      </c>
      <c r="C32" s="11"/>
      <c r="D32" s="3">
        <f t="shared" si="1"/>
        <v>0.9676333332999999</v>
      </c>
      <c r="E32" s="3">
        <f t="shared" si="0"/>
        <v>0.42760070929999999</v>
      </c>
      <c r="F32" s="11"/>
    </row>
    <row r="33" spans="1:6" x14ac:dyDescent="0.25">
      <c r="A33" s="1">
        <v>1001000000</v>
      </c>
      <c r="B33" s="1">
        <v>447501182.39999998</v>
      </c>
      <c r="C33" s="11"/>
      <c r="D33" s="3">
        <f t="shared" si="1"/>
        <v>1.0009999999999999</v>
      </c>
      <c r="E33" s="3">
        <f t="shared" si="0"/>
        <v>0.44750118239999997</v>
      </c>
      <c r="F33" s="11"/>
    </row>
    <row r="34" spans="1:6" x14ac:dyDescent="0.25">
      <c r="A34" s="1">
        <v>1034366667</v>
      </c>
      <c r="B34" s="1">
        <v>466600810.19999999</v>
      </c>
      <c r="C34" s="11"/>
      <c r="D34" s="3">
        <f t="shared" si="1"/>
        <v>1.034366667</v>
      </c>
      <c r="E34" s="3">
        <f t="shared" si="0"/>
        <v>0.46660081019999999</v>
      </c>
      <c r="F34" s="11"/>
    </row>
    <row r="35" spans="1:6" x14ac:dyDescent="0.25">
      <c r="A35" s="1">
        <v>1067733333</v>
      </c>
      <c r="B35" s="1">
        <v>485506440</v>
      </c>
      <c r="C35" s="11"/>
      <c r="D35" s="3">
        <f t="shared" si="1"/>
        <v>1.0677333330000001</v>
      </c>
      <c r="E35" s="3">
        <f t="shared" si="0"/>
        <v>0.48550643999999998</v>
      </c>
      <c r="F35" s="11"/>
    </row>
    <row r="36" spans="1:6" x14ac:dyDescent="0.25">
      <c r="A36" s="1">
        <v>1101100000</v>
      </c>
      <c r="B36" s="1">
        <v>504256324.89999998</v>
      </c>
      <c r="C36" s="11"/>
      <c r="D36" s="3">
        <f t="shared" si="1"/>
        <v>1.1011</v>
      </c>
      <c r="E36" s="3">
        <f t="shared" si="0"/>
        <v>0.50425632489999994</v>
      </c>
      <c r="F36" s="11"/>
    </row>
    <row r="37" spans="1:6" x14ac:dyDescent="0.25">
      <c r="A37" s="1">
        <v>1134466667</v>
      </c>
      <c r="B37" s="1">
        <v>522849466.60000002</v>
      </c>
      <c r="C37" s="11"/>
      <c r="D37" s="3">
        <f t="shared" si="1"/>
        <v>1.1344666670000001</v>
      </c>
      <c r="E37" s="3">
        <f t="shared" si="0"/>
        <v>0.52284946659999998</v>
      </c>
      <c r="F37" s="11"/>
    </row>
    <row r="38" spans="1:6" x14ac:dyDescent="0.25">
      <c r="A38" s="1">
        <v>1167833333</v>
      </c>
      <c r="B38" s="1">
        <v>540901121.29999995</v>
      </c>
      <c r="C38" s="11"/>
      <c r="D38" s="3">
        <f t="shared" si="1"/>
        <v>1.1678333329999999</v>
      </c>
      <c r="E38" s="3">
        <f t="shared" si="0"/>
        <v>0.5409011212999999</v>
      </c>
      <c r="F38" s="11"/>
    </row>
    <row r="39" spans="1:6" x14ac:dyDescent="0.25">
      <c r="A39" s="1">
        <v>1201200000</v>
      </c>
      <c r="B39" s="1">
        <v>558670795.5</v>
      </c>
      <c r="C39" s="11"/>
      <c r="D39" s="3">
        <f t="shared" si="1"/>
        <v>1.2012</v>
      </c>
      <c r="E39" s="3">
        <f t="shared" si="0"/>
        <v>0.55867079549999998</v>
      </c>
      <c r="F39" s="11"/>
    </row>
    <row r="40" spans="1:6" x14ac:dyDescent="0.25">
      <c r="A40" s="1">
        <v>1234566667</v>
      </c>
      <c r="B40" s="1">
        <v>575849810.29999995</v>
      </c>
      <c r="C40" s="11"/>
      <c r="D40" s="3">
        <f t="shared" si="1"/>
        <v>1.234566667</v>
      </c>
      <c r="E40" s="3">
        <f t="shared" si="0"/>
        <v>0.57584981029999993</v>
      </c>
      <c r="F40" s="11"/>
    </row>
    <row r="41" spans="1:6" x14ac:dyDescent="0.25">
      <c r="A41" s="1">
        <v>1267933333</v>
      </c>
      <c r="B41" s="1">
        <v>592387936</v>
      </c>
      <c r="C41" s="11"/>
      <c r="D41" s="3">
        <f t="shared" si="1"/>
        <v>1.267933333</v>
      </c>
      <c r="E41" s="3">
        <f t="shared" si="0"/>
        <v>0.59238793599999995</v>
      </c>
      <c r="F41" s="11"/>
    </row>
    <row r="42" spans="1:6" x14ac:dyDescent="0.25">
      <c r="A42" s="1">
        <v>1301300000</v>
      </c>
      <c r="B42" s="1">
        <v>609353072.20000005</v>
      </c>
      <c r="C42" s="11"/>
      <c r="D42" s="3">
        <f t="shared" si="1"/>
        <v>1.3012999999999999</v>
      </c>
      <c r="E42" s="3">
        <f t="shared" si="0"/>
        <v>0.60935307220000001</v>
      </c>
      <c r="F42" s="11"/>
    </row>
    <row r="43" spans="1:6" x14ac:dyDescent="0.25">
      <c r="A43" s="1">
        <v>1334666667</v>
      </c>
      <c r="B43" s="1">
        <v>626059105.20000005</v>
      </c>
      <c r="C43" s="11"/>
      <c r="D43" s="3">
        <f t="shared" si="1"/>
        <v>1.334666667</v>
      </c>
      <c r="E43" s="3">
        <f t="shared" si="0"/>
        <v>0.62605910520000008</v>
      </c>
      <c r="F43" s="11"/>
    </row>
    <row r="44" spans="1:6" x14ac:dyDescent="0.25">
      <c r="A44" s="1">
        <v>1368033333</v>
      </c>
      <c r="B44" s="1">
        <v>642132160.29999995</v>
      </c>
      <c r="C44" s="11"/>
      <c r="D44" s="3">
        <f t="shared" si="1"/>
        <v>1.3680333330000001</v>
      </c>
      <c r="E44" s="3">
        <f t="shared" si="0"/>
        <v>0.64213216029999998</v>
      </c>
      <c r="F44" s="11"/>
    </row>
    <row r="45" spans="1:6" x14ac:dyDescent="0.25">
      <c r="A45" s="1">
        <v>1401400000</v>
      </c>
      <c r="B45" s="1">
        <v>657999619.5</v>
      </c>
      <c r="C45" s="11"/>
      <c r="D45" s="5">
        <f t="shared" si="1"/>
        <v>1.4014</v>
      </c>
      <c r="E45" s="5">
        <f t="shared" si="0"/>
        <v>0.65799961949999997</v>
      </c>
      <c r="F45" s="4"/>
    </row>
    <row r="46" spans="1:6" x14ac:dyDescent="0.25">
      <c r="A46" s="1">
        <v>1434766667</v>
      </c>
      <c r="B46" s="1">
        <v>673408505.39999998</v>
      </c>
      <c r="C46" s="11"/>
      <c r="D46" s="3">
        <f t="shared" si="1"/>
        <v>1.4347666670000001</v>
      </c>
      <c r="E46" s="3">
        <f t="shared" si="0"/>
        <v>0.67340850539999997</v>
      </c>
      <c r="F46" s="11"/>
    </row>
    <row r="47" spans="1:6" x14ac:dyDescent="0.25">
      <c r="A47" s="1">
        <v>1468133333</v>
      </c>
      <c r="B47" s="1">
        <v>688575345.60000002</v>
      </c>
      <c r="C47" s="11"/>
      <c r="D47" s="3">
        <f t="shared" si="1"/>
        <v>1.4681333329999999</v>
      </c>
      <c r="E47" s="3">
        <f t="shared" si="0"/>
        <v>0.6885753456</v>
      </c>
      <c r="F47" s="11"/>
    </row>
    <row r="48" spans="1:6" x14ac:dyDescent="0.25">
      <c r="A48" s="1">
        <v>1501500000</v>
      </c>
      <c r="B48" s="1">
        <v>703900794.29999995</v>
      </c>
      <c r="C48" s="11"/>
      <c r="D48" s="3">
        <f t="shared" si="1"/>
        <v>1.5015000000000001</v>
      </c>
      <c r="E48" s="3">
        <f t="shared" si="0"/>
        <v>0.70390079429999997</v>
      </c>
      <c r="F48" s="11"/>
    </row>
    <row r="49" spans="1:6" x14ac:dyDescent="0.25">
      <c r="A49" s="1">
        <v>1534866667</v>
      </c>
      <c r="B49" s="1">
        <v>718745949.20000005</v>
      </c>
      <c r="C49" s="11"/>
      <c r="D49" s="3">
        <f t="shared" si="1"/>
        <v>1.534866667</v>
      </c>
      <c r="E49" s="3">
        <f t="shared" si="0"/>
        <v>0.71874594920000001</v>
      </c>
      <c r="F49" s="11"/>
    </row>
    <row r="50" spans="1:6" x14ac:dyDescent="0.25">
      <c r="A50" s="1">
        <v>1568233333</v>
      </c>
      <c r="B50" s="1">
        <v>733170973.10000002</v>
      </c>
      <c r="C50" s="11"/>
      <c r="D50" s="3">
        <f t="shared" si="1"/>
        <v>1.568233333</v>
      </c>
      <c r="E50" s="3">
        <f t="shared" si="0"/>
        <v>0.73317097310000001</v>
      </c>
      <c r="F50" s="11"/>
    </row>
    <row r="51" spans="1:6" x14ac:dyDescent="0.25">
      <c r="A51" s="1">
        <v>1601600000</v>
      </c>
      <c r="B51" s="1">
        <v>747552353.29999995</v>
      </c>
      <c r="C51" s="11"/>
      <c r="D51" s="3">
        <f t="shared" si="1"/>
        <v>1.6015999999999999</v>
      </c>
      <c r="E51" s="3">
        <f t="shared" si="0"/>
        <v>0.74755235329999992</v>
      </c>
      <c r="F51" s="11"/>
    </row>
    <row r="52" spans="1:6" x14ac:dyDescent="0.25">
      <c r="A52" s="1">
        <v>1634966667</v>
      </c>
      <c r="B52" s="1">
        <v>761512703.39999998</v>
      </c>
      <c r="C52" s="11"/>
      <c r="D52" s="3">
        <f t="shared" si="1"/>
        <v>1.634966667</v>
      </c>
      <c r="E52" s="3">
        <f t="shared" si="0"/>
        <v>0.76151270339999999</v>
      </c>
      <c r="F52" s="11"/>
    </row>
    <row r="53" spans="1:6" x14ac:dyDescent="0.25">
      <c r="A53" s="1">
        <v>1668333333</v>
      </c>
      <c r="B53" s="1">
        <v>775322448.10000002</v>
      </c>
      <c r="C53" s="11"/>
      <c r="D53" s="3">
        <f t="shared" si="1"/>
        <v>1.6683333330000001</v>
      </c>
      <c r="E53" s="3">
        <f t="shared" si="0"/>
        <v>0.77532244810000006</v>
      </c>
      <c r="F53" s="11"/>
    </row>
    <row r="54" spans="1:6" x14ac:dyDescent="0.25">
      <c r="A54" s="1">
        <v>1701700000</v>
      </c>
      <c r="B54" s="1">
        <v>788586871.10000002</v>
      </c>
      <c r="C54" s="11"/>
      <c r="D54" s="3">
        <f t="shared" si="1"/>
        <v>1.7017</v>
      </c>
      <c r="E54" s="3">
        <f t="shared" si="0"/>
        <v>0.78858687110000003</v>
      </c>
      <c r="F54" s="11"/>
    </row>
    <row r="55" spans="1:6" x14ac:dyDescent="0.25">
      <c r="A55" s="1">
        <v>1735066667</v>
      </c>
      <c r="B55" s="1">
        <v>801623173.39999998</v>
      </c>
      <c r="C55" s="11"/>
      <c r="D55" s="3">
        <f t="shared" si="1"/>
        <v>1.7350666669999999</v>
      </c>
      <c r="E55" s="3">
        <f t="shared" si="0"/>
        <v>0.8016231734</v>
      </c>
      <c r="F55" s="11"/>
    </row>
    <row r="56" spans="1:6" x14ac:dyDescent="0.25">
      <c r="A56" s="1">
        <v>1768433333</v>
      </c>
      <c r="B56" s="1">
        <v>814448342.60000002</v>
      </c>
      <c r="C56" s="11"/>
      <c r="D56" s="3">
        <f t="shared" si="1"/>
        <v>1.7684333329999999</v>
      </c>
      <c r="E56" s="3">
        <f t="shared" si="0"/>
        <v>0.81444834259999999</v>
      </c>
      <c r="F56" s="11"/>
    </row>
    <row r="57" spans="1:6" x14ac:dyDescent="0.25">
      <c r="A57" s="1">
        <v>1801800000</v>
      </c>
      <c r="B57" s="1">
        <v>826701048.89999998</v>
      </c>
      <c r="C57" s="11"/>
      <c r="D57" s="3">
        <f t="shared" si="1"/>
        <v>1.8018000000000001</v>
      </c>
      <c r="E57" s="3">
        <f t="shared" si="0"/>
        <v>0.82670104889999996</v>
      </c>
      <c r="F57" s="11"/>
    </row>
    <row r="58" spans="1:6" x14ac:dyDescent="0.25">
      <c r="A58" s="1">
        <v>1835166667</v>
      </c>
      <c r="B58" s="1">
        <v>838895749.70000005</v>
      </c>
      <c r="C58" s="11"/>
      <c r="D58" s="3">
        <f t="shared" si="1"/>
        <v>1.835166667</v>
      </c>
      <c r="E58" s="3">
        <f t="shared" si="0"/>
        <v>0.83889574970000003</v>
      </c>
      <c r="F58" s="11"/>
    </row>
    <row r="59" spans="1:6" x14ac:dyDescent="0.25">
      <c r="A59" s="1">
        <v>1868533333</v>
      </c>
      <c r="B59" s="1">
        <v>850856249.60000002</v>
      </c>
      <c r="C59" s="11"/>
      <c r="D59" s="3">
        <f t="shared" si="1"/>
        <v>1.868533333</v>
      </c>
      <c r="E59" s="3">
        <f t="shared" si="0"/>
        <v>0.85085624960000006</v>
      </c>
      <c r="F59" s="11"/>
    </row>
    <row r="60" spans="1:6" x14ac:dyDescent="0.25">
      <c r="A60" s="1">
        <v>1901900000</v>
      </c>
      <c r="B60" s="1">
        <v>862232087.79999995</v>
      </c>
      <c r="C60" s="11"/>
      <c r="D60" s="3">
        <f t="shared" si="1"/>
        <v>1.9018999999999999</v>
      </c>
      <c r="E60" s="3">
        <f t="shared" si="0"/>
        <v>0.86223208779999994</v>
      </c>
      <c r="F60" s="11"/>
    </row>
    <row r="61" spans="1:6" x14ac:dyDescent="0.25">
      <c r="A61" s="1">
        <v>1935266667</v>
      </c>
      <c r="B61" s="1">
        <v>873604047.70000005</v>
      </c>
      <c r="C61" s="11"/>
      <c r="D61" s="3">
        <f t="shared" si="1"/>
        <v>1.9352666670000001</v>
      </c>
      <c r="E61" s="3">
        <f t="shared" si="0"/>
        <v>0.8736040477</v>
      </c>
      <c r="F61" s="11"/>
    </row>
    <row r="62" spans="1:6" x14ac:dyDescent="0.25">
      <c r="A62" s="1">
        <v>1968633333</v>
      </c>
      <c r="B62" s="1">
        <v>884768623.79999995</v>
      </c>
      <c r="C62" s="11"/>
      <c r="D62" s="3">
        <f t="shared" si="1"/>
        <v>1.9686333330000001</v>
      </c>
      <c r="E62" s="3">
        <f t="shared" si="0"/>
        <v>0.88476862379999999</v>
      </c>
      <c r="F62" s="11"/>
    </row>
    <row r="63" spans="1:6" x14ac:dyDescent="0.25">
      <c r="A63" s="1">
        <v>2002000000</v>
      </c>
      <c r="B63" s="1">
        <v>895371234.89999998</v>
      </c>
      <c r="C63" s="11"/>
      <c r="D63" s="3">
        <f t="shared" si="1"/>
        <v>2.0019999999999998</v>
      </c>
      <c r="E63" s="3">
        <f t="shared" si="0"/>
        <v>0.89537123489999992</v>
      </c>
      <c r="F63" s="11"/>
    </row>
    <row r="64" spans="1:6" x14ac:dyDescent="0.25">
      <c r="A64" s="1">
        <v>2035366667</v>
      </c>
      <c r="B64" s="1">
        <v>906127577.70000005</v>
      </c>
      <c r="C64" s="11"/>
      <c r="D64" s="3">
        <f t="shared" si="1"/>
        <v>2.0353666669999999</v>
      </c>
      <c r="E64" s="3">
        <f t="shared" si="0"/>
        <v>0.90612757770000008</v>
      </c>
      <c r="F64" s="11"/>
    </row>
    <row r="65" spans="1:6" x14ac:dyDescent="0.25">
      <c r="A65" s="1">
        <v>2068733333</v>
      </c>
      <c r="B65" s="1">
        <v>916395502.60000002</v>
      </c>
      <c r="C65" s="11"/>
      <c r="D65" s="3">
        <f t="shared" si="1"/>
        <v>2.068733333</v>
      </c>
      <c r="E65" s="3">
        <f t="shared" si="0"/>
        <v>0.91639550260000002</v>
      </c>
      <c r="F65" s="11"/>
    </row>
    <row r="66" spans="1:6" x14ac:dyDescent="0.25">
      <c r="A66" s="1">
        <v>2102100000</v>
      </c>
      <c r="B66" s="1">
        <v>926352471.29999995</v>
      </c>
      <c r="C66" s="11"/>
      <c r="D66" s="3">
        <f t="shared" si="1"/>
        <v>2.1021000000000001</v>
      </c>
      <c r="E66" s="3">
        <f t="shared" si="0"/>
        <v>0.92635247129999998</v>
      </c>
      <c r="F66" s="11"/>
    </row>
    <row r="67" spans="1:6" x14ac:dyDescent="0.25">
      <c r="A67" s="1">
        <v>2135466667</v>
      </c>
      <c r="B67" s="1">
        <v>936278137.70000005</v>
      </c>
      <c r="C67" s="11"/>
      <c r="D67" s="3">
        <f t="shared" ref="D67:D98" si="2">A67/1000000000</f>
        <v>2.1354666670000002</v>
      </c>
      <c r="E67" s="3">
        <f t="shared" ref="E67:E98" si="3">B67/1000000000</f>
        <v>0.93627813770000001</v>
      </c>
      <c r="F67" s="11"/>
    </row>
    <row r="68" spans="1:6" x14ac:dyDescent="0.25">
      <c r="A68" s="1">
        <v>2168833333</v>
      </c>
      <c r="B68" s="1">
        <v>945536698.79999995</v>
      </c>
      <c r="C68" s="11"/>
      <c r="D68" s="3">
        <f t="shared" si="2"/>
        <v>2.1688333329999998</v>
      </c>
      <c r="E68" s="3">
        <f t="shared" si="3"/>
        <v>0.94553669879999991</v>
      </c>
      <c r="F68" s="11"/>
    </row>
    <row r="69" spans="1:6" x14ac:dyDescent="0.25">
      <c r="A69" s="1">
        <v>2202200000</v>
      </c>
      <c r="B69" s="1">
        <v>955049712</v>
      </c>
      <c r="C69" s="11"/>
      <c r="D69" s="3">
        <f t="shared" si="2"/>
        <v>2.2021999999999999</v>
      </c>
      <c r="E69" s="3">
        <f t="shared" si="3"/>
        <v>0.955049712</v>
      </c>
      <c r="F69" s="11"/>
    </row>
    <row r="70" spans="1:6" x14ac:dyDescent="0.25">
      <c r="A70" s="1">
        <v>2235566667</v>
      </c>
      <c r="B70" s="1">
        <v>964158700.60000002</v>
      </c>
      <c r="C70" s="11"/>
      <c r="D70" s="3">
        <f t="shared" si="2"/>
        <v>2.2355666670000001</v>
      </c>
      <c r="E70" s="3">
        <f t="shared" si="3"/>
        <v>0.96415870059999997</v>
      </c>
      <c r="F70" s="11"/>
    </row>
    <row r="71" spans="1:6" x14ac:dyDescent="0.25">
      <c r="A71" s="1">
        <v>2268933333</v>
      </c>
      <c r="B71" s="1">
        <v>972929780.10000002</v>
      </c>
      <c r="C71" s="11"/>
      <c r="D71" s="3">
        <f t="shared" si="2"/>
        <v>2.2689333330000001</v>
      </c>
      <c r="E71" s="3">
        <f t="shared" si="3"/>
        <v>0.97292978009999997</v>
      </c>
      <c r="F71" s="11"/>
    </row>
    <row r="72" spans="1:6" x14ac:dyDescent="0.25">
      <c r="A72" s="1">
        <v>2302300000</v>
      </c>
      <c r="B72" s="1">
        <v>981433457.60000002</v>
      </c>
      <c r="C72" s="11"/>
      <c r="D72" s="3">
        <f t="shared" si="2"/>
        <v>2.3022999999999998</v>
      </c>
      <c r="E72" s="3">
        <f t="shared" si="3"/>
        <v>0.9814334576</v>
      </c>
      <c r="F72" s="11"/>
    </row>
    <row r="73" spans="1:6" x14ac:dyDescent="0.25">
      <c r="A73" s="1">
        <v>2335666667</v>
      </c>
      <c r="B73" s="1">
        <v>989568419.60000002</v>
      </c>
      <c r="C73" s="11"/>
      <c r="D73" s="3">
        <f t="shared" si="2"/>
        <v>2.3356666669999999</v>
      </c>
      <c r="E73" s="3">
        <f t="shared" si="3"/>
        <v>0.98956841959999997</v>
      </c>
      <c r="F73" s="11"/>
    </row>
    <row r="74" spans="1:6" x14ac:dyDescent="0.25">
      <c r="A74" s="1">
        <v>2369033333</v>
      </c>
      <c r="B74" s="1">
        <v>997449284.60000002</v>
      </c>
      <c r="C74" s="11"/>
      <c r="D74" s="3">
        <f t="shared" si="2"/>
        <v>2.369033333</v>
      </c>
      <c r="E74" s="3">
        <f t="shared" si="3"/>
        <v>0.99744928460000004</v>
      </c>
      <c r="F74" s="11"/>
    </row>
    <row r="75" spans="1:6" x14ac:dyDescent="0.25">
      <c r="A75" s="1">
        <v>2402400000</v>
      </c>
      <c r="B75" s="1">
        <v>1005049890</v>
      </c>
      <c r="C75" s="11"/>
      <c r="D75" s="3">
        <f t="shared" si="2"/>
        <v>2.4024000000000001</v>
      </c>
      <c r="E75" s="3">
        <f t="shared" si="3"/>
        <v>1.00504989</v>
      </c>
      <c r="F75" s="11"/>
    </row>
    <row r="76" spans="1:6" x14ac:dyDescent="0.25">
      <c r="A76" s="1">
        <v>2435766667</v>
      </c>
      <c r="B76" s="1">
        <v>1012701715</v>
      </c>
      <c r="C76" s="11"/>
      <c r="D76" s="3">
        <f t="shared" si="2"/>
        <v>2.4357666670000002</v>
      </c>
      <c r="E76" s="3">
        <f t="shared" si="3"/>
        <v>1.0127017149999999</v>
      </c>
      <c r="F76" s="11"/>
    </row>
    <row r="77" spans="1:6" x14ac:dyDescent="0.25">
      <c r="A77" s="1">
        <v>2469133333</v>
      </c>
      <c r="B77" s="1">
        <v>1019881558</v>
      </c>
      <c r="C77" s="11"/>
      <c r="D77" s="3">
        <f t="shared" si="2"/>
        <v>2.4691333329999998</v>
      </c>
      <c r="E77" s="3">
        <f t="shared" si="3"/>
        <v>1.019881558</v>
      </c>
      <c r="F77" s="11"/>
    </row>
    <row r="78" spans="1:6" x14ac:dyDescent="0.25">
      <c r="A78" s="1">
        <v>2502500000</v>
      </c>
      <c r="B78" s="1">
        <v>1026655663</v>
      </c>
      <c r="C78" s="11"/>
      <c r="D78" s="3">
        <f t="shared" si="2"/>
        <v>2.5024999999999999</v>
      </c>
      <c r="E78" s="3">
        <f t="shared" si="3"/>
        <v>1.0266556630000001</v>
      </c>
      <c r="F78" s="11"/>
    </row>
    <row r="79" spans="1:6" x14ac:dyDescent="0.25">
      <c r="A79" s="1">
        <v>2535866667</v>
      </c>
      <c r="B79" s="1">
        <v>1033244269</v>
      </c>
      <c r="C79" s="11"/>
      <c r="D79" s="3">
        <f t="shared" si="2"/>
        <v>2.5358666670000001</v>
      </c>
      <c r="E79" s="3">
        <f t="shared" si="3"/>
        <v>1.0332442690000001</v>
      </c>
      <c r="F79" s="11"/>
    </row>
    <row r="80" spans="1:6" x14ac:dyDescent="0.25">
      <c r="A80" s="1">
        <v>2569233333</v>
      </c>
      <c r="B80" s="1">
        <v>1039817869</v>
      </c>
      <c r="C80" s="11"/>
      <c r="D80" s="3">
        <f t="shared" si="2"/>
        <v>2.5692333330000001</v>
      </c>
      <c r="E80" s="3">
        <f t="shared" si="3"/>
        <v>1.039817869</v>
      </c>
      <c r="F80" s="11"/>
    </row>
    <row r="81" spans="1:6" x14ac:dyDescent="0.25">
      <c r="A81" s="1">
        <v>2602600000</v>
      </c>
      <c r="B81" s="1">
        <v>1046283978</v>
      </c>
      <c r="C81" s="11"/>
      <c r="D81" s="3">
        <f t="shared" si="2"/>
        <v>2.6025999999999998</v>
      </c>
      <c r="E81" s="3">
        <f t="shared" si="3"/>
        <v>1.0462839779999999</v>
      </c>
      <c r="F81" s="11"/>
    </row>
    <row r="82" spans="1:6" x14ac:dyDescent="0.25">
      <c r="A82" s="1">
        <v>2635966667</v>
      </c>
      <c r="B82" s="1">
        <v>1052065099</v>
      </c>
      <c r="C82" s="11"/>
      <c r="D82" s="3">
        <f t="shared" si="2"/>
        <v>2.6359666669999999</v>
      </c>
      <c r="E82" s="3">
        <f t="shared" si="3"/>
        <v>1.052065099</v>
      </c>
      <c r="F82" s="11"/>
    </row>
    <row r="83" spans="1:6" x14ac:dyDescent="0.25">
      <c r="A83" s="1">
        <v>2669333333</v>
      </c>
      <c r="B83" s="1">
        <v>1058261251</v>
      </c>
      <c r="C83" s="11"/>
      <c r="D83" s="3">
        <f t="shared" si="2"/>
        <v>2.669333333</v>
      </c>
      <c r="E83" s="3">
        <f t="shared" si="3"/>
        <v>1.058261251</v>
      </c>
      <c r="F83" s="11"/>
    </row>
    <row r="84" spans="1:6" x14ac:dyDescent="0.25">
      <c r="A84" s="1">
        <v>2702700000</v>
      </c>
      <c r="B84" s="1">
        <v>1063772300</v>
      </c>
      <c r="C84" s="11"/>
      <c r="D84" s="3">
        <f t="shared" si="2"/>
        <v>2.7027000000000001</v>
      </c>
      <c r="E84" s="3">
        <f t="shared" si="3"/>
        <v>1.0637722999999999</v>
      </c>
      <c r="F84" s="11"/>
    </row>
    <row r="85" spans="1:6" x14ac:dyDescent="0.25">
      <c r="A85" s="1">
        <v>2736066667</v>
      </c>
      <c r="B85" s="1">
        <v>1068731564</v>
      </c>
      <c r="C85" s="11"/>
      <c r="D85" s="3">
        <f t="shared" si="2"/>
        <v>2.7360666669999998</v>
      </c>
      <c r="E85" s="3">
        <f t="shared" si="3"/>
        <v>1.0687315639999999</v>
      </c>
      <c r="F85" s="11"/>
    </row>
    <row r="86" spans="1:6" x14ac:dyDescent="0.25">
      <c r="A86" s="1">
        <v>2769433333</v>
      </c>
      <c r="B86" s="1">
        <v>1073419058</v>
      </c>
      <c r="C86" s="11"/>
      <c r="D86" s="3">
        <f t="shared" si="2"/>
        <v>2.7694333329999998</v>
      </c>
      <c r="E86" s="3">
        <f t="shared" si="3"/>
        <v>1.073419058</v>
      </c>
      <c r="F86" s="11"/>
    </row>
    <row r="87" spans="1:6" x14ac:dyDescent="0.25">
      <c r="A87" s="1">
        <v>2802800000</v>
      </c>
      <c r="B87" s="1">
        <v>1078274531</v>
      </c>
      <c r="C87" s="11"/>
      <c r="D87" s="3">
        <f t="shared" si="2"/>
        <v>2.8028</v>
      </c>
      <c r="E87" s="3">
        <f t="shared" si="3"/>
        <v>1.0782745309999999</v>
      </c>
      <c r="F87" s="11"/>
    </row>
    <row r="88" spans="1:6" x14ac:dyDescent="0.25">
      <c r="A88" s="1">
        <v>2836166667</v>
      </c>
      <c r="B88" s="1">
        <v>1082629344</v>
      </c>
      <c r="C88" s="11"/>
      <c r="D88" s="3">
        <f t="shared" si="2"/>
        <v>2.8361666670000001</v>
      </c>
      <c r="E88" s="3">
        <f t="shared" si="3"/>
        <v>1.0826293440000001</v>
      </c>
      <c r="F88" s="11"/>
    </row>
    <row r="89" spans="1:6" x14ac:dyDescent="0.25">
      <c r="A89" s="1">
        <v>2869533333</v>
      </c>
      <c r="B89" s="1">
        <v>1086453861</v>
      </c>
      <c r="C89" s="11"/>
      <c r="D89" s="3">
        <f t="shared" si="2"/>
        <v>2.8695333330000001</v>
      </c>
      <c r="E89" s="3">
        <f t="shared" si="3"/>
        <v>1.0864538610000001</v>
      </c>
      <c r="F89" s="11"/>
    </row>
    <row r="90" spans="1:6" x14ac:dyDescent="0.25">
      <c r="A90" s="1">
        <v>2902900000</v>
      </c>
      <c r="B90" s="1">
        <v>1089993157</v>
      </c>
      <c r="C90" s="11"/>
      <c r="D90" s="3">
        <f t="shared" si="2"/>
        <v>2.9028999999999998</v>
      </c>
      <c r="E90" s="3">
        <f t="shared" si="3"/>
        <v>1.0899931570000001</v>
      </c>
      <c r="F90" s="11"/>
    </row>
    <row r="91" spans="1:6" x14ac:dyDescent="0.25">
      <c r="A91" s="1">
        <v>2936266667</v>
      </c>
      <c r="B91" s="1">
        <v>1093318280</v>
      </c>
      <c r="C91" s="11"/>
      <c r="D91" s="3">
        <f t="shared" si="2"/>
        <v>2.9362666669999999</v>
      </c>
      <c r="E91" s="3">
        <f t="shared" si="3"/>
        <v>1.0933182800000001</v>
      </c>
      <c r="F91" s="11"/>
    </row>
    <row r="92" spans="1:6" x14ac:dyDescent="0.25">
      <c r="A92" s="1">
        <v>2969633333</v>
      </c>
      <c r="B92" s="1">
        <v>1096568719</v>
      </c>
      <c r="C92" s="11"/>
      <c r="D92" s="3">
        <f t="shared" si="2"/>
        <v>2.969633333</v>
      </c>
      <c r="E92" s="3">
        <f t="shared" si="3"/>
        <v>1.096568719</v>
      </c>
      <c r="F92" s="11"/>
    </row>
    <row r="93" spans="1:6" x14ac:dyDescent="0.25">
      <c r="A93" s="1">
        <v>3003000000</v>
      </c>
      <c r="B93" s="1">
        <v>1099634870</v>
      </c>
      <c r="C93" s="11"/>
      <c r="D93" s="3">
        <f t="shared" si="2"/>
        <v>3.0030000000000001</v>
      </c>
      <c r="E93" s="3">
        <f t="shared" si="3"/>
        <v>1.09963487</v>
      </c>
      <c r="F93" s="11"/>
    </row>
    <row r="94" spans="1:6" x14ac:dyDescent="0.25">
      <c r="A94" s="1">
        <v>3036366667</v>
      </c>
      <c r="B94" s="1">
        <v>1102058863</v>
      </c>
      <c r="C94" s="11"/>
      <c r="D94" s="3">
        <f t="shared" si="2"/>
        <v>3.0363666669999998</v>
      </c>
      <c r="E94" s="3">
        <f t="shared" si="3"/>
        <v>1.1020588630000001</v>
      </c>
      <c r="F94" s="11"/>
    </row>
    <row r="95" spans="1:6" x14ac:dyDescent="0.25">
      <c r="A95" s="1">
        <v>3069733333</v>
      </c>
      <c r="B95" s="1">
        <v>1104831717</v>
      </c>
      <c r="C95" s="11"/>
      <c r="D95" s="3">
        <f t="shared" si="2"/>
        <v>3.0697333329999998</v>
      </c>
      <c r="E95" s="3">
        <f t="shared" si="3"/>
        <v>1.1048317169999999</v>
      </c>
      <c r="F95" s="11"/>
    </row>
    <row r="96" spans="1:6" x14ac:dyDescent="0.25">
      <c r="A96" s="1">
        <v>3103100000</v>
      </c>
      <c r="B96" s="1">
        <v>1107314720</v>
      </c>
      <c r="C96" s="11"/>
      <c r="D96" s="3">
        <f t="shared" si="2"/>
        <v>3.1031</v>
      </c>
      <c r="E96" s="3">
        <f t="shared" si="3"/>
        <v>1.10731472</v>
      </c>
      <c r="F96" s="11"/>
    </row>
    <row r="97" spans="1:6" x14ac:dyDescent="0.25">
      <c r="A97" s="1">
        <v>3136466667</v>
      </c>
      <c r="B97" s="1">
        <v>1108962076</v>
      </c>
      <c r="C97" s="11"/>
      <c r="D97" s="3">
        <f t="shared" si="2"/>
        <v>3.1364666670000001</v>
      </c>
      <c r="E97" s="3">
        <f t="shared" si="3"/>
        <v>1.1089620760000001</v>
      </c>
      <c r="F97" s="11"/>
    </row>
    <row r="98" spans="1:6" x14ac:dyDescent="0.25">
      <c r="A98" s="1">
        <v>3169833333</v>
      </c>
      <c r="B98" s="1">
        <v>1110956075</v>
      </c>
      <c r="C98" s="11"/>
      <c r="D98" s="3">
        <f t="shared" si="2"/>
        <v>3.1698333330000001</v>
      </c>
      <c r="E98" s="3">
        <f t="shared" si="3"/>
        <v>1.110956075</v>
      </c>
      <c r="F98" s="11"/>
    </row>
    <row r="99" spans="1:6" x14ac:dyDescent="0.25">
      <c r="A99" s="1">
        <v>3203200000</v>
      </c>
      <c r="B99" s="1">
        <v>1112791978</v>
      </c>
      <c r="C99" s="11"/>
      <c r="D99" s="3">
        <f>A99/1000000000</f>
        <v>3.2031999999999998</v>
      </c>
      <c r="E99" s="3">
        <f>B99/1000000000</f>
        <v>1.112791978</v>
      </c>
      <c r="F99" s="11"/>
    </row>
  </sheetData>
  <mergeCells count="10">
    <mergeCell ref="D1:E1"/>
    <mergeCell ref="A1:B1"/>
    <mergeCell ref="H19:L19"/>
    <mergeCell ref="H18:L18"/>
    <mergeCell ref="H20:L20"/>
    <mergeCell ref="H21:L21"/>
    <mergeCell ref="H22:L22"/>
    <mergeCell ref="H23:L23"/>
    <mergeCell ref="H25:L25"/>
    <mergeCell ref="H26:L27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C48" sqref="C48"/>
    </sheetView>
  </sheetViews>
  <sheetFormatPr baseColWidth="10" defaultColWidth="11.42578125" defaultRowHeight="15" x14ac:dyDescent="0.25"/>
  <cols>
    <col min="1" max="1" width="11.42578125" customWidth="1"/>
    <col min="2" max="2" width="12.85546875" customWidth="1"/>
    <col min="3" max="3" width="81.7109375" customWidth="1"/>
    <col min="4" max="4" width="12.28515625" customWidth="1"/>
    <col min="5" max="5" width="12.140625" customWidth="1"/>
    <col min="6" max="6" width="68.85546875" customWidth="1"/>
  </cols>
  <sheetData>
    <row r="1" spans="1:5" x14ac:dyDescent="0.25">
      <c r="A1" t="s">
        <v>4</v>
      </c>
      <c r="B1" t="s">
        <v>5</v>
      </c>
      <c r="D1" t="s">
        <v>4</v>
      </c>
      <c r="E1" t="s">
        <v>5</v>
      </c>
    </row>
    <row r="2" spans="1:5" x14ac:dyDescent="0.25">
      <c r="A2">
        <v>0</v>
      </c>
      <c r="B2">
        <v>-2.7398070289999998E-4</v>
      </c>
      <c r="D2">
        <v>0.76743333329999996</v>
      </c>
      <c r="E2">
        <v>0.30301298389999998</v>
      </c>
    </row>
    <row r="3" spans="1:5" x14ac:dyDescent="0.25">
      <c r="A3">
        <v>3.3366666670000003E-2</v>
      </c>
      <c r="B3">
        <v>-1.3407361859999999E-4</v>
      </c>
      <c r="D3">
        <v>0.80079999999999996</v>
      </c>
      <c r="E3">
        <v>0.32453443970000001</v>
      </c>
    </row>
    <row r="4" spans="1:5" x14ac:dyDescent="0.25">
      <c r="A4">
        <v>6.6733333329999991E-2</v>
      </c>
      <c r="B4">
        <v>9.1519774829999995E-4</v>
      </c>
      <c r="D4">
        <v>0.83416666670000006</v>
      </c>
      <c r="E4">
        <v>0.34579829480000002</v>
      </c>
    </row>
    <row r="5" spans="1:5" x14ac:dyDescent="0.25">
      <c r="A5">
        <v>0.10009999999999999</v>
      </c>
      <c r="B5">
        <v>4.157871344E-3</v>
      </c>
      <c r="D5">
        <v>0.86753333329999993</v>
      </c>
      <c r="E5">
        <v>0.3665851987</v>
      </c>
    </row>
    <row r="6" spans="1:5" x14ac:dyDescent="0.25">
      <c r="A6">
        <v>0.13346666670000001</v>
      </c>
      <c r="B6">
        <v>6.9729604890000005E-3</v>
      </c>
      <c r="D6">
        <v>0.90090000000000003</v>
      </c>
      <c r="E6">
        <v>0.38749294449999999</v>
      </c>
    </row>
    <row r="7" spans="1:5" x14ac:dyDescent="0.25">
      <c r="A7">
        <v>0.16683333330000003</v>
      </c>
      <c r="B7">
        <v>8.7174609559999994E-3</v>
      </c>
      <c r="D7">
        <v>0.93426666670000003</v>
      </c>
      <c r="E7">
        <v>0.40774472880000001</v>
      </c>
    </row>
    <row r="8" spans="1:5" x14ac:dyDescent="0.25">
      <c r="A8">
        <v>0.20019999999999999</v>
      </c>
      <c r="B8">
        <v>1.290740307E-2</v>
      </c>
      <c r="D8">
        <v>0.9676333332999999</v>
      </c>
      <c r="E8">
        <v>0.42760070929999999</v>
      </c>
    </row>
    <row r="9" spans="1:5" x14ac:dyDescent="0.25">
      <c r="A9">
        <v>0.23356666669999998</v>
      </c>
      <c r="B9">
        <v>1.9451789269999999E-2</v>
      </c>
      <c r="D9">
        <v>1.0009999999999999</v>
      </c>
      <c r="E9">
        <v>0.44750118239999997</v>
      </c>
    </row>
    <row r="10" spans="1:5" x14ac:dyDescent="0.25">
      <c r="A10">
        <v>0.26693333330000002</v>
      </c>
      <c r="B10">
        <v>2.8181138370000001E-2</v>
      </c>
      <c r="D10">
        <v>1.034366667</v>
      </c>
      <c r="E10">
        <v>0.46660081019999999</v>
      </c>
    </row>
    <row r="11" spans="1:5" x14ac:dyDescent="0.25">
      <c r="A11">
        <v>0.30030000000000001</v>
      </c>
      <c r="B11">
        <v>3.8721059659999994E-2</v>
      </c>
      <c r="D11">
        <v>1.0677333330000001</v>
      </c>
      <c r="E11">
        <v>0.48550643999999998</v>
      </c>
    </row>
    <row r="12" spans="1:5" x14ac:dyDescent="0.25">
      <c r="A12">
        <v>0.3336666667</v>
      </c>
      <c r="B12">
        <v>5.0817285299999994E-2</v>
      </c>
      <c r="D12">
        <v>1.1011</v>
      </c>
      <c r="E12">
        <v>0.50425632489999994</v>
      </c>
    </row>
    <row r="13" spans="1:5" x14ac:dyDescent="0.25">
      <c r="A13">
        <v>0.36703333329999999</v>
      </c>
      <c r="B13">
        <v>6.4422786039999999E-2</v>
      </c>
      <c r="D13">
        <v>1.1344666670000001</v>
      </c>
      <c r="E13">
        <v>0.52284946659999998</v>
      </c>
    </row>
    <row r="14" spans="1:5" x14ac:dyDescent="0.25">
      <c r="A14">
        <v>0.40039999999999998</v>
      </c>
      <c r="B14">
        <v>7.9594331200000007E-2</v>
      </c>
      <c r="D14">
        <v>1.1678333329999999</v>
      </c>
      <c r="E14">
        <v>0.5409011212999999</v>
      </c>
    </row>
    <row r="15" spans="1:5" x14ac:dyDescent="0.25">
      <c r="A15">
        <v>0.43376666669999997</v>
      </c>
      <c r="B15">
        <v>9.5653126919999998E-2</v>
      </c>
      <c r="D15">
        <v>1.2012</v>
      </c>
      <c r="E15">
        <v>0.55867079549999998</v>
      </c>
    </row>
    <row r="16" spans="1:5" x14ac:dyDescent="0.25">
      <c r="A16">
        <v>0.46713333330000001</v>
      </c>
      <c r="B16">
        <v>0.11297581479999999</v>
      </c>
      <c r="D16">
        <v>1.234566667</v>
      </c>
      <c r="E16">
        <v>0.57584981029999993</v>
      </c>
    </row>
    <row r="17" spans="1:6" x14ac:dyDescent="0.25">
      <c r="A17">
        <v>0.50049999999999994</v>
      </c>
      <c r="B17">
        <v>0.13112939870000001</v>
      </c>
      <c r="D17">
        <v>1.267933333</v>
      </c>
      <c r="E17">
        <v>0.59238793599999995</v>
      </c>
    </row>
    <row r="18" spans="1:6" x14ac:dyDescent="0.25">
      <c r="A18">
        <v>0.53386666669999994</v>
      </c>
      <c r="B18">
        <v>0.15079520019999998</v>
      </c>
      <c r="D18">
        <v>1.3012999999999999</v>
      </c>
      <c r="E18">
        <v>0.60935307220000001</v>
      </c>
    </row>
    <row r="19" spans="1:6" x14ac:dyDescent="0.25">
      <c r="A19">
        <v>0.56723333329999992</v>
      </c>
      <c r="B19">
        <v>0.17159899249999999</v>
      </c>
      <c r="D19">
        <v>1.334666667</v>
      </c>
      <c r="E19">
        <v>0.62605910520000008</v>
      </c>
      <c r="F19" s="10"/>
    </row>
    <row r="20" spans="1:6" x14ac:dyDescent="0.25">
      <c r="A20">
        <v>0.60060000000000002</v>
      </c>
      <c r="B20">
        <v>0.1924170895</v>
      </c>
      <c r="D20">
        <v>1.3680333330000001</v>
      </c>
      <c r="E20">
        <v>0.64213216029999998</v>
      </c>
      <c r="F20" s="10"/>
    </row>
    <row r="21" spans="1:6" x14ac:dyDescent="0.25">
      <c r="A21">
        <v>0.63396666670000001</v>
      </c>
      <c r="B21">
        <v>0.21380624400000001</v>
      </c>
      <c r="D21">
        <v>1.4014</v>
      </c>
      <c r="E21">
        <v>0.65799961949999997</v>
      </c>
      <c r="F21" s="13"/>
    </row>
    <row r="22" spans="1:6" x14ac:dyDescent="0.25">
      <c r="A22">
        <v>0.6673333333</v>
      </c>
      <c r="B22">
        <v>0.23602067419999997</v>
      </c>
      <c r="C22" s="12"/>
      <c r="D22">
        <v>1.4347666670000001</v>
      </c>
      <c r="E22">
        <v>0.67340850539999997</v>
      </c>
      <c r="F22" s="12"/>
    </row>
    <row r="23" spans="1:6" x14ac:dyDescent="0.25">
      <c r="A23">
        <v>0.70069999999999999</v>
      </c>
      <c r="B23">
        <v>0.25840839539999999</v>
      </c>
      <c r="C23" s="12"/>
      <c r="D23">
        <v>1.4681333329999999</v>
      </c>
      <c r="E23">
        <v>0.6885753456</v>
      </c>
      <c r="F23" s="7"/>
    </row>
    <row r="24" spans="1:6" x14ac:dyDescent="0.25">
      <c r="A24">
        <v>0.73406666670000009</v>
      </c>
      <c r="B24">
        <v>0.28092579779999999</v>
      </c>
      <c r="D24">
        <v>1.5015000000000001</v>
      </c>
      <c r="E24">
        <v>0.70390079429999997</v>
      </c>
    </row>
    <row r="25" spans="1:6" x14ac:dyDescent="0.25">
      <c r="A25">
        <v>0.76743333329999996</v>
      </c>
      <c r="B25">
        <v>0.30301298389999998</v>
      </c>
      <c r="D25">
        <v>1.534866667</v>
      </c>
      <c r="E25">
        <v>0.71874594920000001</v>
      </c>
      <c r="F25" t="s">
        <v>14</v>
      </c>
    </row>
    <row r="26" spans="1:6" x14ac:dyDescent="0.25">
      <c r="D26">
        <v>1.568233333</v>
      </c>
      <c r="E26">
        <v>0.73317097310000001</v>
      </c>
    </row>
    <row r="27" spans="1:6" x14ac:dyDescent="0.25">
      <c r="C27" s="9" t="s">
        <v>15</v>
      </c>
      <c r="D27">
        <v>1.6015999999999999</v>
      </c>
      <c r="E27">
        <v>0.74755235329999992</v>
      </c>
    </row>
    <row r="28" spans="1:6" x14ac:dyDescent="0.25">
      <c r="C28" s="14"/>
      <c r="D28">
        <v>1.634966667</v>
      </c>
      <c r="E28">
        <v>0.76151270339999999</v>
      </c>
    </row>
    <row r="29" spans="1:6" x14ac:dyDescent="0.25">
      <c r="C29" s="14"/>
      <c r="D29">
        <v>1.6683333330000001</v>
      </c>
      <c r="E29">
        <v>0.77532244810000006</v>
      </c>
    </row>
    <row r="30" spans="1:6" x14ac:dyDescent="0.25">
      <c r="C30" s="14"/>
      <c r="D30">
        <v>1.7017</v>
      </c>
      <c r="E30">
        <v>0.78858687110000003</v>
      </c>
    </row>
    <row r="31" spans="1:6" x14ac:dyDescent="0.25">
      <c r="A31" s="17" t="s">
        <v>16</v>
      </c>
      <c r="B31" s="17"/>
      <c r="C31" s="8">
        <f>0.5399*2</f>
        <v>1.0798000000000001</v>
      </c>
      <c r="D31">
        <v>1.7350666669999999</v>
      </c>
      <c r="E31">
        <v>0.8016231734</v>
      </c>
    </row>
    <row r="32" spans="1:6" x14ac:dyDescent="0.25">
      <c r="D32">
        <v>1.7684333329999999</v>
      </c>
      <c r="E32">
        <v>0.81444834259999999</v>
      </c>
    </row>
    <row r="33" spans="1:5" x14ac:dyDescent="0.25">
      <c r="C33" s="14"/>
      <c r="D33">
        <v>1.8018000000000001</v>
      </c>
      <c r="E33">
        <v>0.82670104889999996</v>
      </c>
    </row>
    <row r="34" spans="1:5" x14ac:dyDescent="0.25">
      <c r="C34" s="14"/>
      <c r="D34">
        <v>1.835166667</v>
      </c>
      <c r="E34">
        <v>0.83889574970000003</v>
      </c>
    </row>
    <row r="35" spans="1:5" x14ac:dyDescent="0.25">
      <c r="B35" s="11" t="s">
        <v>17</v>
      </c>
      <c r="C35" s="14"/>
      <c r="D35">
        <v>1.868533333</v>
      </c>
      <c r="E35">
        <v>0.85085624960000006</v>
      </c>
    </row>
    <row r="36" spans="1:5" x14ac:dyDescent="0.25">
      <c r="D36">
        <v>1.9018999999999999</v>
      </c>
      <c r="E36">
        <v>0.86223208779999994</v>
      </c>
    </row>
    <row r="37" spans="1:5" x14ac:dyDescent="0.25">
      <c r="A37" s="17" t="s">
        <v>18</v>
      </c>
      <c r="B37" s="17"/>
      <c r="C37" s="8">
        <f>C31*A25</f>
        <v>0.82867451329733999</v>
      </c>
      <c r="D37">
        <v>1.9352666670000001</v>
      </c>
      <c r="E37">
        <v>0.8736040477</v>
      </c>
    </row>
    <row r="38" spans="1:5" x14ac:dyDescent="0.25">
      <c r="D38">
        <v>1.9686333330000001</v>
      </c>
      <c r="E38">
        <v>0.88476862379999999</v>
      </c>
    </row>
    <row r="39" spans="1:5" x14ac:dyDescent="0.25">
      <c r="C39" s="9" t="s">
        <v>19</v>
      </c>
      <c r="D39">
        <v>2.0019999999999998</v>
      </c>
      <c r="E39">
        <v>0.89537123489999992</v>
      </c>
    </row>
    <row r="40" spans="1:5" x14ac:dyDescent="0.25">
      <c r="C40" s="14"/>
      <c r="D40">
        <v>2.0353666669999999</v>
      </c>
      <c r="E40">
        <v>0.90612757770000008</v>
      </c>
    </row>
    <row r="41" spans="1:5" x14ac:dyDescent="0.25">
      <c r="C41" s="14"/>
      <c r="D41">
        <v>2.068733333</v>
      </c>
      <c r="E41">
        <v>0.91639550260000002</v>
      </c>
    </row>
    <row r="42" spans="1:5" x14ac:dyDescent="0.25">
      <c r="C42" s="14"/>
      <c r="D42">
        <v>2.1021000000000001</v>
      </c>
      <c r="E42">
        <v>0.92635247129999998</v>
      </c>
    </row>
    <row r="43" spans="1:5" x14ac:dyDescent="0.25">
      <c r="A43" s="17" t="s">
        <v>16</v>
      </c>
      <c r="B43" s="17"/>
      <c r="C43" s="8">
        <v>-0.2462</v>
      </c>
      <c r="D43">
        <v>2.1354666670000002</v>
      </c>
      <c r="E43">
        <v>0.93627813770000001</v>
      </c>
    </row>
    <row r="44" spans="1:5" x14ac:dyDescent="0.25">
      <c r="D44">
        <v>2.1688333329999998</v>
      </c>
      <c r="E44">
        <v>0.94553669879999991</v>
      </c>
    </row>
    <row r="45" spans="1:5" x14ac:dyDescent="0.25">
      <c r="A45" s="17" t="s">
        <v>20</v>
      </c>
      <c r="B45" s="17"/>
      <c r="C45" s="8">
        <f>((E75-E2)-((-0.1231)*(D75-D2)*(D75-D2)))/(D75-D2)</f>
        <v>0.63229631121796992</v>
      </c>
      <c r="D45">
        <v>2.2021999999999999</v>
      </c>
      <c r="E45">
        <v>0.955049712</v>
      </c>
    </row>
    <row r="46" spans="1:5" x14ac:dyDescent="0.25">
      <c r="C46" s="8"/>
      <c r="D46">
        <v>2.2355666670000001</v>
      </c>
      <c r="E46">
        <v>0.96415870059999997</v>
      </c>
    </row>
    <row r="47" spans="1:5" x14ac:dyDescent="0.25">
      <c r="C47" s="8"/>
      <c r="D47">
        <v>2.2689333330000001</v>
      </c>
      <c r="E47">
        <v>0.97292978009999997</v>
      </c>
    </row>
    <row r="48" spans="1:5" x14ac:dyDescent="0.25">
      <c r="D48">
        <v>2.3022999999999998</v>
      </c>
      <c r="E48">
        <v>0.9814334576</v>
      </c>
    </row>
    <row r="49" spans="4:5" x14ac:dyDescent="0.25">
      <c r="D49">
        <v>2.3356666669999999</v>
      </c>
      <c r="E49">
        <v>0.98956841959999997</v>
      </c>
    </row>
    <row r="50" spans="4:5" x14ac:dyDescent="0.25">
      <c r="D50">
        <v>2.369033333</v>
      </c>
      <c r="E50">
        <v>0.99744928460000004</v>
      </c>
    </row>
    <row r="51" spans="4:5" x14ac:dyDescent="0.25">
      <c r="D51">
        <v>2.4024000000000001</v>
      </c>
      <c r="E51">
        <v>1.00504989</v>
      </c>
    </row>
    <row r="52" spans="4:5" x14ac:dyDescent="0.25">
      <c r="D52">
        <v>2.4357666670000002</v>
      </c>
      <c r="E52">
        <v>1.0127017149999999</v>
      </c>
    </row>
    <row r="53" spans="4:5" x14ac:dyDescent="0.25">
      <c r="D53">
        <v>2.4691333329999998</v>
      </c>
      <c r="E53">
        <v>1.019881558</v>
      </c>
    </row>
    <row r="54" spans="4:5" x14ac:dyDescent="0.25">
      <c r="D54">
        <v>2.5024999999999999</v>
      </c>
      <c r="E54">
        <v>1.0266556630000001</v>
      </c>
    </row>
    <row r="55" spans="4:5" x14ac:dyDescent="0.25">
      <c r="D55">
        <v>2.5358666670000001</v>
      </c>
      <c r="E55">
        <v>1.0332442690000001</v>
      </c>
    </row>
    <row r="56" spans="4:5" x14ac:dyDescent="0.25">
      <c r="D56">
        <v>2.5692333330000001</v>
      </c>
      <c r="E56">
        <v>1.039817869</v>
      </c>
    </row>
    <row r="57" spans="4:5" x14ac:dyDescent="0.25">
      <c r="D57">
        <v>2.6025999999999998</v>
      </c>
      <c r="E57">
        <v>1.0462839779999999</v>
      </c>
    </row>
    <row r="58" spans="4:5" x14ac:dyDescent="0.25">
      <c r="D58">
        <v>2.6359666669999999</v>
      </c>
      <c r="E58">
        <v>1.052065099</v>
      </c>
    </row>
    <row r="59" spans="4:5" x14ac:dyDescent="0.25">
      <c r="D59">
        <v>2.669333333</v>
      </c>
      <c r="E59">
        <v>1.058261251</v>
      </c>
    </row>
    <row r="60" spans="4:5" x14ac:dyDescent="0.25">
      <c r="D60">
        <v>2.7027000000000001</v>
      </c>
      <c r="E60">
        <v>1.0637722999999999</v>
      </c>
    </row>
    <row r="61" spans="4:5" x14ac:dyDescent="0.25">
      <c r="D61">
        <v>2.7360666669999998</v>
      </c>
      <c r="E61">
        <v>1.0687315639999999</v>
      </c>
    </row>
    <row r="62" spans="4:5" x14ac:dyDescent="0.25">
      <c r="D62">
        <v>2.7694333329999998</v>
      </c>
      <c r="E62">
        <v>1.073419058</v>
      </c>
    </row>
    <row r="63" spans="4:5" x14ac:dyDescent="0.25">
      <c r="D63">
        <v>2.8028</v>
      </c>
      <c r="E63">
        <v>1.0782745309999999</v>
      </c>
    </row>
    <row r="64" spans="4:5" x14ac:dyDescent="0.25">
      <c r="D64">
        <v>2.8361666670000001</v>
      </c>
      <c r="E64">
        <v>1.0826293440000001</v>
      </c>
    </row>
    <row r="65" spans="4:5" x14ac:dyDescent="0.25">
      <c r="D65">
        <v>2.8695333330000001</v>
      </c>
      <c r="E65">
        <v>1.0864538610000001</v>
      </c>
    </row>
    <row r="66" spans="4:5" x14ac:dyDescent="0.25">
      <c r="D66">
        <v>2.9028999999999998</v>
      </c>
      <c r="E66">
        <v>1.0899931570000001</v>
      </c>
    </row>
    <row r="67" spans="4:5" x14ac:dyDescent="0.25">
      <c r="D67">
        <v>2.9362666669999999</v>
      </c>
      <c r="E67">
        <v>1.0933182800000001</v>
      </c>
    </row>
    <row r="68" spans="4:5" x14ac:dyDescent="0.25">
      <c r="D68">
        <v>2.969633333</v>
      </c>
      <c r="E68">
        <v>1.096568719</v>
      </c>
    </row>
    <row r="69" spans="4:5" x14ac:dyDescent="0.25">
      <c r="D69">
        <v>3.0030000000000001</v>
      </c>
      <c r="E69">
        <v>1.09963487</v>
      </c>
    </row>
    <row r="70" spans="4:5" x14ac:dyDescent="0.25">
      <c r="D70">
        <v>3.0363666669999998</v>
      </c>
      <c r="E70">
        <v>1.1020588630000001</v>
      </c>
    </row>
    <row r="71" spans="4:5" x14ac:dyDescent="0.25">
      <c r="D71">
        <v>3.0697333329999998</v>
      </c>
      <c r="E71">
        <v>1.1048317169999999</v>
      </c>
    </row>
    <row r="72" spans="4:5" x14ac:dyDescent="0.25">
      <c r="D72">
        <v>3.1031</v>
      </c>
      <c r="E72">
        <v>1.10731472</v>
      </c>
    </row>
    <row r="73" spans="4:5" x14ac:dyDescent="0.25">
      <c r="D73">
        <v>3.1364666670000001</v>
      </c>
      <c r="E73">
        <v>1.1089620760000001</v>
      </c>
    </row>
    <row r="74" spans="4:5" x14ac:dyDescent="0.25">
      <c r="D74">
        <v>3.1698333330000001</v>
      </c>
      <c r="E74">
        <v>1.110956075</v>
      </c>
    </row>
    <row r="75" spans="4:5" x14ac:dyDescent="0.25">
      <c r="D75">
        <v>3.2031999999999998</v>
      </c>
      <c r="E75">
        <v>1.112791978</v>
      </c>
    </row>
  </sheetData>
  <mergeCells count="7">
    <mergeCell ref="A45:B45"/>
    <mergeCell ref="A37:B37"/>
    <mergeCell ref="A31:B31"/>
    <mergeCell ref="C33:C35"/>
    <mergeCell ref="C28:C30"/>
    <mergeCell ref="C40:C42"/>
    <mergeCell ref="A43:B43"/>
  </mergeCells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FUNCIÓN_GENERAL</vt:lpstr>
      <vt:lpstr>FUNCIONES PARTICULARES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Alfonso Murrieta Villegas</dc:creator>
  <cp:keywords/>
  <dc:description/>
  <cp:lastModifiedBy>Alfonso Murrieta Villegas</cp:lastModifiedBy>
  <cp:revision/>
  <dcterms:created xsi:type="dcterms:W3CDTF">2018-05-18T15:07:21Z</dcterms:created>
  <dcterms:modified xsi:type="dcterms:W3CDTF">2018-05-28T14:55:31Z</dcterms:modified>
  <cp:category/>
  <cp:contentStatus/>
</cp:coreProperties>
</file>