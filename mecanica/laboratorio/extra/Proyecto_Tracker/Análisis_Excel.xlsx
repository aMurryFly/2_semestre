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pon_c\Downloads\Proyecto_Tracker\"/>
    </mc:Choice>
  </mc:AlternateContent>
  <bookViews>
    <workbookView xWindow="0" yWindow="0" windowWidth="20490" windowHeight="7650" activeTab="1"/>
  </bookViews>
  <sheets>
    <sheet name="Aceleración (Obtención manual)" sheetId="2" r:id="rId1"/>
    <sheet name="Promedio mediante Tracker" sheetId="1" r:id="rId2"/>
  </sheets>
  <definedNames>
    <definedName name="_xlchart.0" hidden="1">'Aceleración (Obtención manual)'!$B$6:$B$20</definedName>
    <definedName name="_xlchart.1" hidden="1">'Aceleración (Obtención manual)'!$C$6:$C$20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" i="1" l="1"/>
  <c r="G21" i="2"/>
  <c r="F19" i="1" l="1"/>
  <c r="A19" i="1"/>
</calcChain>
</file>

<file path=xl/sharedStrings.xml><?xml version="1.0" encoding="utf-8"?>
<sst xmlns="http://schemas.openxmlformats.org/spreadsheetml/2006/main" count="18" uniqueCount="17">
  <si>
    <t>Aceleración (DATOS DE TRACKER)</t>
  </si>
  <si>
    <t>Aceleración en [cm]</t>
  </si>
  <si>
    <t>NOTA:</t>
  </si>
  <si>
    <t>Aceleración en [m]</t>
  </si>
  <si>
    <t>Tiempo en [s]</t>
  </si>
  <si>
    <t>OBTENCIÓN DE LA ACELERACIÓN</t>
  </si>
  <si>
    <t>Debido a que tracker tiene como notación la forma española al momento de darnos</t>
  </si>
  <si>
    <t xml:space="preserve"> los datos en vez de usar " . " nos los proporciona con una coma, por ellos se volvieron a escribir en el apartado de "Aceleación en [cm]" y "Tiempo en [s]"</t>
  </si>
  <si>
    <t>y [m]</t>
  </si>
  <si>
    <t>t [s]</t>
  </si>
  <si>
    <t>NOTAS:</t>
  </si>
  <si>
    <t>Debido a que los primeros 2 dato y los últimos 2 datos obtenidos de tracker nos provocan mucho error se decidió no tomarlos como parte del análisis de la parábola</t>
  </si>
  <si>
    <r>
      <t>Dada la ecuaación de la parábola, -</t>
    </r>
    <r>
      <rPr>
        <b/>
        <sz val="11"/>
        <color theme="1"/>
        <rFont val="Calibri"/>
        <family val="2"/>
        <scheme val="minor"/>
      </rPr>
      <t>1/2 a = 4.8588</t>
    </r>
    <r>
      <rPr>
        <sz val="11"/>
        <color theme="1"/>
        <rFont val="Calibri"/>
        <family val="2"/>
        <scheme val="minor"/>
      </rPr>
      <t xml:space="preserve"> , </t>
    </r>
    <r>
      <rPr>
        <b/>
        <sz val="11"/>
        <color theme="1"/>
        <rFont val="Calibri"/>
        <family val="2"/>
        <scheme val="minor"/>
      </rPr>
      <t>b = 0.3233</t>
    </r>
    <r>
      <rPr>
        <sz val="11"/>
        <color theme="1"/>
        <rFont val="Calibri"/>
        <family val="2"/>
        <scheme val="minor"/>
      </rPr>
      <t xml:space="preserve"> y </t>
    </r>
    <r>
      <rPr>
        <b/>
        <sz val="11"/>
        <color theme="1"/>
        <rFont val="Calibri"/>
        <family val="2"/>
        <scheme val="minor"/>
      </rPr>
      <t xml:space="preserve">c (Ordenada al origen) = -0.0007  </t>
    </r>
  </si>
  <si>
    <r>
      <t xml:space="preserve">Por lo tanto, el valor de la aceleración = g =  </t>
    </r>
    <r>
      <rPr>
        <b/>
        <sz val="11"/>
        <color theme="1"/>
        <rFont val="Calibri"/>
        <family val="2"/>
        <scheme val="minor"/>
      </rPr>
      <t>9.7176</t>
    </r>
  </si>
  <si>
    <t>NOTA 2:</t>
  </si>
  <si>
    <t>En este análisis al igual que en el de "obtención manual de la aceleración" solamente se excluyeron los 2 primeros datos y los 2 últimos datos obetnidos del análisis de tracker</t>
  </si>
  <si>
    <t>ACELERACIÓN [m/s]: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</si>
</sst>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b/>
      <sz val="9"/>
      <color theme="1"/>
      <name val="Calibri Light"/>
      <family val="2"/>
      <scheme val="maj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11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2" borderId="0" xfId="0" applyFont="1" applyFill="1"/>
    <xf numFmtId="0" fontId="7" fillId="0" borderId="0" xfId="0" applyFont="1"/>
    <xf numFmtId="11" fontId="0" fillId="0" borderId="0" xfId="0" applyNumberFormat="1"/>
    <xf numFmtId="11" fontId="0" fillId="0" borderId="0" xfId="0" applyNumberFormat="1" applyAlignment="1">
      <alignment horizontal="center" vertical="center"/>
    </xf>
    <xf numFmtId="11" fontId="8" fillId="0" borderId="0" xfId="0" applyNumberFormat="1" applyFont="1" applyAlignment="1">
      <alignment horizontal="center" vertical="center"/>
    </xf>
    <xf numFmtId="11" fontId="9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25071867902929562"/>
                  <c:y val="-4.066230039002134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="1" baseline="0"/>
                      <a:t>y = -4.8588x</a:t>
                    </a:r>
                    <a:r>
                      <a:rPr lang="en-US" sz="1100" b="1" baseline="30000"/>
                      <a:t>2</a:t>
                    </a:r>
                    <a:r>
                      <a:rPr lang="en-US" sz="1100" b="1" baseline="0"/>
                      <a:t> + 0.3233x - 0.007</a:t>
                    </a:r>
                    <a:endParaRPr lang="en-US" sz="1100" b="1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'Aceleración (Obtención manual)'!$B$6:$B$20</c:f>
              <c:numCache>
                <c:formatCode>0.00E+00</c:formatCode>
                <c:ptCount val="15"/>
                <c:pt idx="0">
                  <c:v>6.6733333330000005E-2</c:v>
                </c:pt>
                <c:pt idx="1">
                  <c:v>0.10009999999999999</c:v>
                </c:pt>
                <c:pt idx="2">
                  <c:v>0.13346666669999999</c:v>
                </c:pt>
                <c:pt idx="3">
                  <c:v>0.166833333</c:v>
                </c:pt>
                <c:pt idx="4">
                  <c:v>0.20019999999999999</c:v>
                </c:pt>
                <c:pt idx="5">
                  <c:v>0.23356666600000001</c:v>
                </c:pt>
                <c:pt idx="6">
                  <c:v>0.26693333299999999</c:v>
                </c:pt>
                <c:pt idx="7">
                  <c:v>0.30030000000000001</c:v>
                </c:pt>
                <c:pt idx="8">
                  <c:v>0.333666666</c:v>
                </c:pt>
                <c:pt idx="9">
                  <c:v>0.36703333300000002</c:v>
                </c:pt>
                <c:pt idx="10">
                  <c:v>0.40039999999999998</c:v>
                </c:pt>
                <c:pt idx="11">
                  <c:v>0.43376666670000003</c:v>
                </c:pt>
                <c:pt idx="12">
                  <c:v>0.46713333299999998</c:v>
                </c:pt>
                <c:pt idx="13">
                  <c:v>0.50049999999999994</c:v>
                </c:pt>
                <c:pt idx="14">
                  <c:v>0.53386666599999999</c:v>
                </c:pt>
              </c:numCache>
            </c:numRef>
          </c:xVal>
          <c:yVal>
            <c:numRef>
              <c:f>'Aceleración (Obtención manual)'!$C$6:$C$20</c:f>
              <c:numCache>
                <c:formatCode>0.00E+00</c:formatCode>
                <c:ptCount val="15"/>
                <c:pt idx="0">
                  <c:v>-8.9733894829999994E-3</c:v>
                </c:pt>
                <c:pt idx="1">
                  <c:v>-2.3506892389999999E-2</c:v>
                </c:pt>
                <c:pt idx="2">
                  <c:v>-5.0562644560000002E-2</c:v>
                </c:pt>
                <c:pt idx="3">
                  <c:v>-8.7950380630000005E-2</c:v>
                </c:pt>
                <c:pt idx="4">
                  <c:v>-0.1374569903</c:v>
                </c:pt>
                <c:pt idx="5">
                  <c:v>-0.195982563</c:v>
                </c:pt>
                <c:pt idx="6">
                  <c:v>-0.26663485100000001</c:v>
                </c:pt>
                <c:pt idx="7">
                  <c:v>-0.3479851034</c:v>
                </c:pt>
                <c:pt idx="8">
                  <c:v>-0.43994378070000001</c:v>
                </c:pt>
                <c:pt idx="9">
                  <c:v>-0.54287262140000003</c:v>
                </c:pt>
                <c:pt idx="10">
                  <c:v>-0.65680205670000003</c:v>
                </c:pt>
                <c:pt idx="11">
                  <c:v>-0.78144444099999999</c:v>
                </c:pt>
                <c:pt idx="12">
                  <c:v>-0.91634195210000002</c:v>
                </c:pt>
                <c:pt idx="13">
                  <c:v>-1.061669934</c:v>
                </c:pt>
                <c:pt idx="14">
                  <c:v>-1.2192520609999999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62-42A3-8BE8-24FEEA9FB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6430703"/>
        <c:axId val="1446445679"/>
      </c:scatterChart>
      <c:valAx>
        <c:axId val="1446430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 [s]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46445679"/>
        <c:crosses val="autoZero"/>
        <c:crossBetween val="midCat"/>
      </c:valAx>
      <c:valAx>
        <c:axId val="144644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Distancia [m]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46430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Tendencia</a:t>
            </a:r>
            <a:r>
              <a:rPr lang="en-US" baseline="0"/>
              <a:t> de "g"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'Promedio mediante Tracker'!$F$3</c:f>
              <c:strCache>
                <c:ptCount val="1"/>
                <c:pt idx="0">
                  <c:v>Aceleración en [m]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'Promedio mediante Tracker'!$E$4:$E$18</c:f>
              <c:numCache>
                <c:formatCode>0.00E+00</c:formatCode>
                <c:ptCount val="15"/>
                <c:pt idx="0">
                  <c:v>6.6733333330000005E-2</c:v>
                </c:pt>
                <c:pt idx="1">
                  <c:v>1.001E-2</c:v>
                </c:pt>
                <c:pt idx="2">
                  <c:v>1.334666667E-2</c:v>
                </c:pt>
                <c:pt idx="3">
                  <c:v>1.6683333330000001E-2</c:v>
                </c:pt>
                <c:pt idx="4">
                  <c:v>2.002E-2</c:v>
                </c:pt>
                <c:pt idx="5">
                  <c:v>2.3356666670000002E-2</c:v>
                </c:pt>
                <c:pt idx="6">
                  <c:v>2.66933333E-2</c:v>
                </c:pt>
                <c:pt idx="7">
                  <c:v>3.0030000000000001E-2</c:v>
                </c:pt>
                <c:pt idx="8">
                  <c:v>3.3366666670000003E-2</c:v>
                </c:pt>
                <c:pt idx="9">
                  <c:v>3.6703333329999997E-2</c:v>
                </c:pt>
                <c:pt idx="10">
                  <c:v>4.0039999999999999E-2</c:v>
                </c:pt>
                <c:pt idx="11">
                  <c:v>4.3376666670000001E-2</c:v>
                </c:pt>
                <c:pt idx="12">
                  <c:v>4.6713333330000002E-2</c:v>
                </c:pt>
                <c:pt idx="13">
                  <c:v>5.0049999999999997E-2</c:v>
                </c:pt>
                <c:pt idx="14">
                  <c:v>5.3386666669999999E-2</c:v>
                </c:pt>
              </c:numCache>
            </c:numRef>
          </c:xVal>
          <c:yVal>
            <c:numRef>
              <c:f>'Promedio mediante Tracker'!$F$4:$F$18</c:f>
              <c:numCache>
                <c:formatCode>General</c:formatCode>
                <c:ptCount val="15"/>
                <c:pt idx="0">
                  <c:v>8.7167390539999996</c:v>
                </c:pt>
                <c:pt idx="1">
                  <c:v>10.231787049999999</c:v>
                </c:pt>
                <c:pt idx="2">
                  <c:v>9.7772109149999995</c:v>
                </c:pt>
                <c:pt idx="3">
                  <c:v>9.63355228</c:v>
                </c:pt>
                <c:pt idx="4">
                  <c:v>9.6952395720000002</c:v>
                </c:pt>
                <c:pt idx="5">
                  <c:v>9.7282503939999998</c:v>
                </c:pt>
                <c:pt idx="6">
                  <c:v>9.952705216</c:v>
                </c:pt>
                <c:pt idx="7">
                  <c:v>9.6467727679999999</c:v>
                </c:pt>
                <c:pt idx="8">
                  <c:v>9.768882949</c:v>
                </c:pt>
                <c:pt idx="9">
                  <c:v>9.8018372369999902</c:v>
                </c:pt>
                <c:pt idx="10">
                  <c:v>9.5894132909999996</c:v>
                </c:pt>
                <c:pt idx="11">
                  <c:v>9.3839866870000002</c:v>
                </c:pt>
                <c:pt idx="12">
                  <c:v>9.7986503020000004</c:v>
                </c:pt>
                <c:pt idx="13">
                  <c:v>8.7976577369999998</c:v>
                </c:pt>
                <c:pt idx="14">
                  <c:v>11.731731979999999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84-41D5-BDD5-0B4A3DCEE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102943"/>
        <c:axId val="321097119"/>
      </c:scatterChart>
      <c:valAx>
        <c:axId val="321102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 (s)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21097119"/>
        <c:crosses val="autoZero"/>
        <c:crossBetween val="midCat"/>
      </c:valAx>
      <c:valAx>
        <c:axId val="32109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Aceleración</a:t>
                </a:r>
                <a:r>
                  <a:rPr lang="es-MX" baseline="0"/>
                  <a:t> [m/s]</a:t>
                </a:r>
                <a:endParaRPr lang="es-MX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21102943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baseline="0">
                <a:effectLst/>
              </a:rPr>
              <a:t>Aceleraciones del objeto obtenidas de Tracker</a:t>
            </a:r>
            <a:endParaRPr lang="es-MX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'Promedio mediante Tracker'!$F$3</c:f>
              <c:strCache>
                <c:ptCount val="1"/>
                <c:pt idx="0">
                  <c:v>Aceleración en [m]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391659353105137"/>
                  <c:y val="0.1554475065616798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0.0402x + </a:t>
                    </a:r>
                    <a:r>
                      <a:rPr lang="en-US" b="1" baseline="0"/>
                      <a:t>9.4287</a:t>
                    </a:r>
                    <a:endParaRPr lang="en-US" b="1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yVal>
            <c:numRef>
              <c:f>'Promedio mediante Tracker'!$F$6:$F$16</c:f>
              <c:numCache>
                <c:formatCode>General</c:formatCode>
                <c:ptCount val="11"/>
                <c:pt idx="0">
                  <c:v>9.7772109149999995</c:v>
                </c:pt>
                <c:pt idx="1">
                  <c:v>9.63355228</c:v>
                </c:pt>
                <c:pt idx="2">
                  <c:v>9.6952395720000002</c:v>
                </c:pt>
                <c:pt idx="3">
                  <c:v>9.7282503939999998</c:v>
                </c:pt>
                <c:pt idx="4">
                  <c:v>9.952705216</c:v>
                </c:pt>
                <c:pt idx="5">
                  <c:v>9.6467727679999999</c:v>
                </c:pt>
                <c:pt idx="6">
                  <c:v>9.768882949</c:v>
                </c:pt>
                <c:pt idx="7">
                  <c:v>9.8018372369999902</c:v>
                </c:pt>
                <c:pt idx="8">
                  <c:v>9.5894132909999996</c:v>
                </c:pt>
                <c:pt idx="9">
                  <c:v>9.3839866870000002</c:v>
                </c:pt>
                <c:pt idx="10">
                  <c:v>9.7986503020000004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87-48A1-ACE3-3AD6991A8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9550031"/>
        <c:axId val="319555023"/>
      </c:scatterChart>
      <c:valAx>
        <c:axId val="319550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</a:t>
                </a:r>
                <a:r>
                  <a:rPr lang="es-MX" baseline="0"/>
                  <a:t> </a:t>
                </a:r>
                <a:endParaRPr lang="es-MX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19555023"/>
        <c:crosses val="autoZero"/>
        <c:crossBetween val="midCat"/>
      </c:valAx>
      <c:valAx>
        <c:axId val="31955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Aceleración [m/s]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19550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</xdr:colOff>
      <xdr:row>2</xdr:row>
      <xdr:rowOff>85724</xdr:rowOff>
    </xdr:from>
    <xdr:to>
      <xdr:col>11</xdr:col>
      <xdr:colOff>685800</xdr:colOff>
      <xdr:row>18</xdr:row>
      <xdr:rowOff>95249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104775</xdr:colOff>
      <xdr:row>2</xdr:row>
      <xdr:rowOff>9525</xdr:rowOff>
    </xdr:from>
    <xdr:to>
      <xdr:col>10</xdr:col>
      <xdr:colOff>342900</xdr:colOff>
      <xdr:row>14</xdr:row>
      <xdr:rowOff>104775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466723</xdr:colOff>
      <xdr:row>1</xdr:row>
      <xdr:rowOff>180975</xdr:rowOff>
    </xdr:from>
    <xdr:to>
      <xdr:col>17</xdr:col>
      <xdr:colOff>247650</xdr:colOff>
      <xdr:row>13</xdr:row>
      <xdr:rowOff>9525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3:Q27"/>
  <sheetViews>
    <sheetView workbookViewId="0">
      <selection activeCell="G21" sqref="G21"/>
    </sheetView>
  </sheetViews>
  <sheetFormatPr baseColWidth="10" defaultRowHeight="15" x14ac:dyDescent="0.25"/>
  <cols>
    <col min="1" max="1" width="3.140625" customWidth="1"/>
    <col min="6" max="6" width="18.28515625" customWidth="1"/>
    <col min="13" max="13" width="15" customWidth="1"/>
  </cols>
  <sheetData>
    <row r="3" spans="2:3" x14ac:dyDescent="0.25">
      <c r="B3" s="11" t="s">
        <v>9</v>
      </c>
      <c r="C3" s="1" t="s">
        <v>8</v>
      </c>
    </row>
    <row r="4" spans="2:3" x14ac:dyDescent="0.25">
      <c r="B4" s="12">
        <v>0</v>
      </c>
      <c r="C4" s="12">
        <v>-4.0257775770000002E-3</v>
      </c>
    </row>
    <row r="5" spans="2:3" x14ac:dyDescent="0.25">
      <c r="B5" s="12">
        <v>3.3366666670000003E-2</v>
      </c>
      <c r="C5" s="12">
        <v>-3.991465215E-3</v>
      </c>
    </row>
    <row r="6" spans="2:3" x14ac:dyDescent="0.25">
      <c r="B6" s="13">
        <v>6.6733333330000005E-2</v>
      </c>
      <c r="C6" s="10">
        <v>-8.9733894829999994E-3</v>
      </c>
    </row>
    <row r="7" spans="2:3" x14ac:dyDescent="0.25">
      <c r="B7" s="11">
        <v>0.10009999999999999</v>
      </c>
      <c r="C7" s="11">
        <v>-2.3506892389999999E-2</v>
      </c>
    </row>
    <row r="8" spans="2:3" x14ac:dyDescent="0.25">
      <c r="B8" s="11">
        <v>0.13346666669999999</v>
      </c>
      <c r="C8" s="11">
        <v>-5.0562644560000002E-2</v>
      </c>
    </row>
    <row r="9" spans="2:3" x14ac:dyDescent="0.25">
      <c r="B9" s="11">
        <v>0.166833333</v>
      </c>
      <c r="C9" s="11">
        <v>-8.7950380630000005E-2</v>
      </c>
    </row>
    <row r="10" spans="2:3" x14ac:dyDescent="0.25">
      <c r="B10" s="11">
        <v>0.20019999999999999</v>
      </c>
      <c r="C10" s="11">
        <v>-0.1374569903</v>
      </c>
    </row>
    <row r="11" spans="2:3" x14ac:dyDescent="0.25">
      <c r="B11" s="11">
        <v>0.23356666600000001</v>
      </c>
      <c r="C11" s="11">
        <v>-0.195982563</v>
      </c>
    </row>
    <row r="12" spans="2:3" x14ac:dyDescent="0.25">
      <c r="B12" s="11">
        <v>0.26693333299999999</v>
      </c>
      <c r="C12" s="11">
        <v>-0.26663485100000001</v>
      </c>
    </row>
    <row r="13" spans="2:3" x14ac:dyDescent="0.25">
      <c r="B13" s="11">
        <v>0.30030000000000001</v>
      </c>
      <c r="C13" s="11">
        <v>-0.3479851034</v>
      </c>
    </row>
    <row r="14" spans="2:3" x14ac:dyDescent="0.25">
      <c r="B14" s="11">
        <v>0.333666666</v>
      </c>
      <c r="C14" s="11">
        <v>-0.43994378070000001</v>
      </c>
    </row>
    <row r="15" spans="2:3" x14ac:dyDescent="0.25">
      <c r="B15" s="11">
        <v>0.36703333300000002</v>
      </c>
      <c r="C15" s="11">
        <v>-0.54287262140000003</v>
      </c>
    </row>
    <row r="16" spans="2:3" x14ac:dyDescent="0.25">
      <c r="B16" s="11">
        <v>0.40039999999999998</v>
      </c>
      <c r="C16" s="11">
        <v>-0.65680205670000003</v>
      </c>
    </row>
    <row r="17" spans="1:17" x14ac:dyDescent="0.25">
      <c r="B17" s="11">
        <v>0.43376666670000003</v>
      </c>
      <c r="C17" s="11">
        <v>-0.78144444099999999</v>
      </c>
    </row>
    <row r="18" spans="1:17" x14ac:dyDescent="0.25">
      <c r="B18" s="11">
        <v>0.46713333299999998</v>
      </c>
      <c r="C18" s="11">
        <v>-0.91634195210000002</v>
      </c>
    </row>
    <row r="19" spans="1:17" x14ac:dyDescent="0.25">
      <c r="B19" s="11">
        <v>0.50049999999999994</v>
      </c>
      <c r="C19" s="11">
        <v>-1.061669934</v>
      </c>
    </row>
    <row r="20" spans="1:17" x14ac:dyDescent="0.25">
      <c r="B20" s="11">
        <v>0.53386666599999999</v>
      </c>
      <c r="C20" s="11">
        <v>-1.2192520609999999</v>
      </c>
    </row>
    <row r="21" spans="1:17" x14ac:dyDescent="0.25">
      <c r="B21" s="12">
        <v>0.56723333300000001</v>
      </c>
      <c r="C21" s="12">
        <v>-1.3822788029999999</v>
      </c>
      <c r="F21" s="8" t="s">
        <v>16</v>
      </c>
      <c r="G21" s="8">
        <f>-4.8588/-(1/2)</f>
        <v>9.7175999999999991</v>
      </c>
    </row>
    <row r="22" spans="1:17" x14ac:dyDescent="0.25">
      <c r="B22" s="12">
        <v>0.60060000000000002</v>
      </c>
      <c r="C22" s="12">
        <v>-1.4824022221399999</v>
      </c>
    </row>
    <row r="24" spans="1:17" x14ac:dyDescent="0.25">
      <c r="A24" s="15" t="s">
        <v>10</v>
      </c>
      <c r="B24" s="15"/>
      <c r="C24" s="15"/>
    </row>
    <row r="25" spans="1:17" x14ac:dyDescent="0.25">
      <c r="A25" s="16" t="s">
        <v>11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</row>
    <row r="26" spans="1:17" x14ac:dyDescent="0.25">
      <c r="A26" s="14" t="s">
        <v>12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</row>
    <row r="27" spans="1:17" x14ac:dyDescent="0.25">
      <c r="A27" s="14" t="s">
        <v>13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</row>
  </sheetData>
  <mergeCells count="4">
    <mergeCell ref="A26:P26"/>
    <mergeCell ref="A24:C24"/>
    <mergeCell ref="A25:Q25"/>
    <mergeCell ref="A27:P27"/>
  </mergeCells>
  <pageMargins left="0.7" right="0.7" top="0.75" bottom="0.75" header="0.3" footer="0.3"/>
  <pageSetup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S25"/>
  <sheetViews>
    <sheetView tabSelected="1" workbookViewId="0">
      <selection activeCell="F4" sqref="F4:F18"/>
    </sheetView>
  </sheetViews>
  <sheetFormatPr baseColWidth="10" defaultRowHeight="15" x14ac:dyDescent="0.25"/>
  <cols>
    <col min="1" max="1" width="29.42578125" customWidth="1"/>
    <col min="2" max="2" width="1.85546875" customWidth="1"/>
    <col min="3" max="3" width="23.42578125" customWidth="1"/>
    <col min="4" max="4" width="2" customWidth="1"/>
    <col min="5" max="5" width="11.5703125" customWidth="1"/>
    <col min="6" max="6" width="16" customWidth="1"/>
    <col min="7" max="7" width="22.85546875" customWidth="1"/>
    <col min="8" max="8" width="18.28515625" customWidth="1"/>
  </cols>
  <sheetData>
    <row r="1" spans="1:19" x14ac:dyDescent="0.25">
      <c r="F1" s="18" t="s">
        <v>5</v>
      </c>
      <c r="G1" s="18"/>
      <c r="H1" s="18"/>
      <c r="I1" s="18"/>
    </row>
    <row r="2" spans="1:19" x14ac:dyDescent="0.25">
      <c r="A2" s="1"/>
      <c r="B2" s="1"/>
      <c r="C2" s="1"/>
      <c r="D2" s="1"/>
      <c r="E2" s="1"/>
    </row>
    <row r="3" spans="1:19" ht="28.5" customHeight="1" x14ac:dyDescent="0.25">
      <c r="A3" s="5" t="s">
        <v>0</v>
      </c>
      <c r="B3" s="6"/>
      <c r="C3" s="7" t="s">
        <v>1</v>
      </c>
      <c r="D3" s="6"/>
      <c r="E3" s="5" t="s">
        <v>4</v>
      </c>
      <c r="F3" s="7" t="s">
        <v>3</v>
      </c>
      <c r="G3" s="1"/>
    </row>
    <row r="4" spans="1:19" x14ac:dyDescent="0.25">
      <c r="A4" s="3">
        <v>871673905400</v>
      </c>
      <c r="B4" s="2"/>
      <c r="C4" s="2">
        <v>871.67390539999997</v>
      </c>
      <c r="D4" s="2"/>
      <c r="E4" s="3">
        <v>6.6733333330000005E-2</v>
      </c>
      <c r="F4" s="2">
        <v>8.7167390539999996</v>
      </c>
      <c r="G4" s="1"/>
    </row>
    <row r="5" spans="1:19" x14ac:dyDescent="0.25">
      <c r="A5" s="3">
        <v>1023178705000</v>
      </c>
      <c r="B5" s="2"/>
      <c r="C5" s="2">
        <v>1023.178705</v>
      </c>
      <c r="D5" s="2"/>
      <c r="E5" s="3">
        <v>1.001E-2</v>
      </c>
      <c r="F5" s="2">
        <v>10.231787049999999</v>
      </c>
      <c r="G5" s="1"/>
    </row>
    <row r="6" spans="1:19" x14ac:dyDescent="0.25">
      <c r="A6" s="3">
        <v>977721091500</v>
      </c>
      <c r="B6" s="2"/>
      <c r="C6" s="2">
        <v>977.72109150000006</v>
      </c>
      <c r="D6" s="2"/>
      <c r="E6" s="3">
        <v>1.334666667E-2</v>
      </c>
      <c r="F6" s="2">
        <v>9.7772109149999995</v>
      </c>
      <c r="G6" s="1"/>
    </row>
    <row r="7" spans="1:19" x14ac:dyDescent="0.25">
      <c r="A7" s="3">
        <v>963355228000</v>
      </c>
      <c r="B7" s="2"/>
      <c r="C7" s="2">
        <v>963.35522800000001</v>
      </c>
      <c r="D7" s="2"/>
      <c r="E7" s="3">
        <v>1.6683333330000001E-2</v>
      </c>
      <c r="F7" s="2">
        <v>9.63355228</v>
      </c>
      <c r="G7" s="1"/>
    </row>
    <row r="8" spans="1:19" x14ac:dyDescent="0.25">
      <c r="A8" s="3">
        <v>969523957200</v>
      </c>
      <c r="B8" s="2"/>
      <c r="C8" s="2">
        <v>969.52395720000004</v>
      </c>
      <c r="D8" s="2"/>
      <c r="E8" s="3">
        <v>2.002E-2</v>
      </c>
      <c r="F8" s="2">
        <v>9.6952395720000002</v>
      </c>
      <c r="G8" s="1"/>
    </row>
    <row r="9" spans="1:19" x14ac:dyDescent="0.25">
      <c r="A9" s="3">
        <v>972825039400</v>
      </c>
      <c r="B9" s="2"/>
      <c r="C9" s="2">
        <v>972.82503940000004</v>
      </c>
      <c r="D9" s="2"/>
      <c r="E9" s="3">
        <v>2.3356666670000002E-2</v>
      </c>
      <c r="F9" s="2">
        <v>9.7282503939999998</v>
      </c>
      <c r="G9" s="1"/>
      <c r="S9" s="9"/>
    </row>
    <row r="10" spans="1:19" x14ac:dyDescent="0.25">
      <c r="A10" s="3">
        <v>995270521600</v>
      </c>
      <c r="B10" s="2"/>
      <c r="C10" s="2">
        <v>995.27052160000005</v>
      </c>
      <c r="D10" s="2"/>
      <c r="E10" s="3">
        <v>2.66933333E-2</v>
      </c>
      <c r="F10" s="2">
        <v>9.952705216</v>
      </c>
      <c r="G10" s="1"/>
    </row>
    <row r="11" spans="1:19" x14ac:dyDescent="0.25">
      <c r="A11" s="3">
        <v>964677276800</v>
      </c>
      <c r="B11" s="2"/>
      <c r="C11" s="2">
        <v>964.67727679999996</v>
      </c>
      <c r="D11" s="2"/>
      <c r="E11" s="3">
        <v>3.0030000000000001E-2</v>
      </c>
      <c r="F11" s="2">
        <v>9.6467727679999999</v>
      </c>
      <c r="G11" s="1"/>
    </row>
    <row r="12" spans="1:19" x14ac:dyDescent="0.25">
      <c r="A12" s="3">
        <v>976888294900</v>
      </c>
      <c r="B12" s="2"/>
      <c r="C12" s="2">
        <v>976.88829490000001</v>
      </c>
      <c r="D12" s="2"/>
      <c r="E12" s="3">
        <v>3.3366666670000003E-2</v>
      </c>
      <c r="F12" s="2">
        <v>9.768882949</v>
      </c>
      <c r="G12" s="1"/>
    </row>
    <row r="13" spans="1:19" x14ac:dyDescent="0.25">
      <c r="A13" s="3">
        <v>980183723700</v>
      </c>
      <c r="B13" s="2"/>
      <c r="C13" s="2">
        <v>980.18372369999997</v>
      </c>
      <c r="D13" s="2"/>
      <c r="E13" s="3">
        <v>3.6703333329999997E-2</v>
      </c>
      <c r="F13" s="2">
        <v>9.8018372369999902</v>
      </c>
      <c r="G13" s="1"/>
    </row>
    <row r="14" spans="1:19" x14ac:dyDescent="0.25">
      <c r="A14" s="3">
        <v>958941329100</v>
      </c>
      <c r="B14" s="2"/>
      <c r="C14" s="2">
        <v>958.94132909999996</v>
      </c>
      <c r="D14" s="2"/>
      <c r="E14" s="3">
        <v>4.0039999999999999E-2</v>
      </c>
      <c r="F14" s="2">
        <v>9.5894132909999996</v>
      </c>
      <c r="G14" s="1"/>
    </row>
    <row r="15" spans="1:19" x14ac:dyDescent="0.25">
      <c r="A15" s="3">
        <v>938398668700</v>
      </c>
      <c r="B15" s="2"/>
      <c r="C15" s="2">
        <v>938.39866870000003</v>
      </c>
      <c r="D15" s="2"/>
      <c r="E15" s="3">
        <v>4.3376666670000001E-2</v>
      </c>
      <c r="F15" s="2">
        <v>9.3839866870000002</v>
      </c>
      <c r="G15" s="1"/>
    </row>
    <row r="16" spans="1:19" x14ac:dyDescent="0.25">
      <c r="A16" s="3">
        <v>979865030200</v>
      </c>
      <c r="B16" s="2"/>
      <c r="C16" s="2">
        <v>979.86503019999998</v>
      </c>
      <c r="D16" s="2"/>
      <c r="E16" s="3">
        <v>4.6713333330000002E-2</v>
      </c>
      <c r="F16" s="2">
        <v>9.7986503020000004</v>
      </c>
      <c r="G16" s="1"/>
    </row>
    <row r="17" spans="1:16" x14ac:dyDescent="0.25">
      <c r="A17" s="3">
        <v>879765773700</v>
      </c>
      <c r="B17" s="2"/>
      <c r="C17" s="2">
        <v>879.76577369999995</v>
      </c>
      <c r="D17" s="2"/>
      <c r="E17" s="3">
        <v>5.0049999999999997E-2</v>
      </c>
      <c r="F17" s="2">
        <v>8.7976577369999998</v>
      </c>
      <c r="G17" s="1"/>
    </row>
    <row r="18" spans="1:16" x14ac:dyDescent="0.25">
      <c r="A18" s="3">
        <v>1173173198000</v>
      </c>
      <c r="B18" s="2"/>
      <c r="C18" s="2">
        <v>1173.173198</v>
      </c>
      <c r="D18" s="2"/>
      <c r="E18" s="3">
        <v>5.3386666669999999E-2</v>
      </c>
      <c r="F18" s="2">
        <v>11.731731979999999</v>
      </c>
      <c r="G18" s="1"/>
      <c r="H18" s="8" t="s">
        <v>16</v>
      </c>
      <c r="I18" s="8">
        <v>9.75</v>
      </c>
    </row>
    <row r="19" spans="1:16" x14ac:dyDescent="0.25">
      <c r="A19" s="4">
        <f>AVERAGE(A4:A18)</f>
        <v>975029449546.66663</v>
      </c>
      <c r="B19" s="2"/>
      <c r="C19" s="4">
        <f>AVERAGE(C4:C18)</f>
        <v>975.02944954666668</v>
      </c>
      <c r="D19" s="2"/>
      <c r="E19" s="2"/>
      <c r="F19" s="4">
        <f>AVERAGE(F4:F18)</f>
        <v>9.750294495466667</v>
      </c>
      <c r="G19" s="1"/>
    </row>
    <row r="21" spans="1:16" x14ac:dyDescent="0.25">
      <c r="A21" s="8" t="s">
        <v>2</v>
      </c>
    </row>
    <row r="22" spans="1:16" x14ac:dyDescent="0.25">
      <c r="A22" s="17" t="s">
        <v>6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6" x14ac:dyDescent="0.25">
      <c r="A23" s="14" t="s">
        <v>7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</row>
    <row r="24" spans="1:16" x14ac:dyDescent="0.25">
      <c r="A24" s="8" t="s">
        <v>14</v>
      </c>
    </row>
    <row r="25" spans="1:16" x14ac:dyDescent="0.25">
      <c r="A25" s="14" t="s">
        <v>15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</row>
  </sheetData>
  <mergeCells count="4">
    <mergeCell ref="A22:M22"/>
    <mergeCell ref="F1:I1"/>
    <mergeCell ref="A23:P23"/>
    <mergeCell ref="A25:P25"/>
  </mergeCells>
  <pageMargins left="0.7" right="0.7" top="0.75" bottom="0.75" header="0.3" footer="0.3"/>
  <pageSetup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Aceleración (Obtención manual)</vt:lpstr>
      <vt:lpstr>Promedio mediante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Murrieta Villegas</dc:creator>
  <cp:lastModifiedBy>Alfonso Murrieta Villegas</cp:lastModifiedBy>
  <dcterms:created xsi:type="dcterms:W3CDTF">2018-04-25T19:43:20Z</dcterms:created>
  <dcterms:modified xsi:type="dcterms:W3CDTF">2018-04-27T20:21:34Z</dcterms:modified>
</cp:coreProperties>
</file>